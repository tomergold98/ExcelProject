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חוברת_עבודה_זו" defaultThemeVersion="124226"/>
  <mc:AlternateContent xmlns:mc="http://schemas.openxmlformats.org/markup-compatibility/2006">
    <mc:Choice Requires="x15">
      <x15ac:absPath xmlns:x15ac="http://schemas.microsoft.com/office/spreadsheetml/2010/11/ac" url="https://mypac-my.sharepoint.com/personal/tomer_goldenshtern_pac_org_il/Documents/Projects/Excel/"/>
    </mc:Choice>
  </mc:AlternateContent>
  <xr:revisionPtr revIDLastSave="186" documentId="8_{5041D22E-5C3F-4755-AE19-21CD21F1C4DF}" xr6:coauthVersionLast="47" xr6:coauthVersionMax="47" xr10:uidLastSave="{AA3A2BB6-1859-41F1-80D3-4102CD215DCD}"/>
  <bookViews>
    <workbookView xWindow="-120" yWindow="-120" windowWidth="29040" windowHeight="15720" xr2:uid="{00000000-000D-0000-FFFF-FFFF00000000}"/>
  </bookViews>
  <sheets>
    <sheet name="דוח הכנה chrome" sheetId="28" r:id="rId1"/>
    <sheet name="דוח ביצוע" sheetId="27" r:id="rId2"/>
    <sheet name="דוח הדפסה" sheetId="30" r:id="rId3"/>
    <sheet name="ינואר" sheetId="29" r:id="rId4"/>
    <sheet name="פברואר" sheetId="16" r:id="rId5"/>
    <sheet name="מרץ" sheetId="17" r:id="rId6"/>
    <sheet name="אפריל" sheetId="18" r:id="rId7"/>
    <sheet name="מאי" sheetId="19" r:id="rId8"/>
    <sheet name="יוני" sheetId="20" r:id="rId9"/>
    <sheet name="יולי" sheetId="21" r:id="rId10"/>
    <sheet name="אוגוסט" sheetId="22" r:id="rId11"/>
    <sheet name="ספטמבר" sheetId="23" r:id="rId12"/>
    <sheet name="אוקטובר" sheetId="24" r:id="rId13"/>
    <sheet name="נובמבר" sheetId="25" r:id="rId14"/>
    <sheet name="דצמבר" sheetId="26" r:id="rId15"/>
  </sheets>
  <definedNames>
    <definedName name="_xlnm._FilterDatabase" localSheetId="1" hidden="1">'דוח ביצוע'!$A$2:$F$42</definedName>
    <definedName name="_xlnm._FilterDatabase" localSheetId="0" hidden="1">'דוח הכנה chrome'!$T$2:$AA$32</definedName>
    <definedName name="_xlnm._FilterDatabase" localSheetId="5" hidden="1">מרץ!$E$8:$N$39</definedName>
    <definedName name="_xlnm._FilterDatabase" localSheetId="4" hidden="1">פברואר!$E$8:$N$36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9" i="24" l="1"/>
  <c r="I10" i="24"/>
  <c r="I16" i="24"/>
  <c r="I17" i="24"/>
  <c r="I23" i="24"/>
  <c r="I24" i="24"/>
  <c r="I30" i="24"/>
  <c r="I31" i="24"/>
  <c r="I37" i="24"/>
  <c r="I38" i="24"/>
  <c r="I11" i="23"/>
  <c r="I12" i="23"/>
  <c r="I18" i="23"/>
  <c r="I19" i="23"/>
  <c r="I25" i="23"/>
  <c r="I26" i="23"/>
  <c r="I32" i="23"/>
  <c r="I33" i="23"/>
  <c r="T4" i="28"/>
  <c r="T5" i="28"/>
  <c r="T6" i="28"/>
  <c r="T7" i="28"/>
  <c r="T8" i="28"/>
  <c r="T9" i="28"/>
  <c r="T10" i="28"/>
  <c r="T11" i="28"/>
  <c r="T12" i="28"/>
  <c r="T13" i="28"/>
  <c r="T14" i="28"/>
  <c r="T15" i="28"/>
  <c r="T16" i="28"/>
  <c r="T17" i="28"/>
  <c r="T18" i="28"/>
  <c r="T19" i="28"/>
  <c r="T20" i="28"/>
  <c r="T21" i="28"/>
  <c r="T22" i="28"/>
  <c r="T23" i="28"/>
  <c r="T24" i="28"/>
  <c r="T25" i="28"/>
  <c r="T26" i="28"/>
  <c r="T27" i="28"/>
  <c r="T28" i="28"/>
  <c r="T29" i="28"/>
  <c r="T30" i="28"/>
  <c r="T31" i="28"/>
  <c r="T32" i="28"/>
  <c r="T33" i="28"/>
  <c r="T34" i="28"/>
  <c r="T35" i="28"/>
  <c r="T36" i="28"/>
  <c r="T37" i="28"/>
  <c r="T38" i="28"/>
  <c r="T39" i="28"/>
  <c r="T40" i="28"/>
  <c r="T3" i="28"/>
  <c r="U3" i="28" l="1"/>
  <c r="I11" i="26" l="1"/>
  <c r="I12" i="26"/>
  <c r="I18" i="26"/>
  <c r="I19" i="26"/>
  <c r="I25" i="26"/>
  <c r="I26" i="26"/>
  <c r="I32" i="26"/>
  <c r="I33" i="26"/>
  <c r="I39" i="26"/>
  <c r="I13" i="25"/>
  <c r="I14" i="25"/>
  <c r="I20" i="25"/>
  <c r="I21" i="25"/>
  <c r="I27" i="25"/>
  <c r="I28" i="25"/>
  <c r="I34" i="25"/>
  <c r="I35" i="25"/>
  <c r="I14" i="22"/>
  <c r="I15" i="22"/>
  <c r="I21" i="22"/>
  <c r="I22" i="22"/>
  <c r="I28" i="22"/>
  <c r="I29" i="22"/>
  <c r="I35" i="22"/>
  <c r="I36" i="22"/>
  <c r="I10" i="21"/>
  <c r="I11" i="21"/>
  <c r="I17" i="21"/>
  <c r="I18" i="21"/>
  <c r="I24" i="21"/>
  <c r="I25" i="21"/>
  <c r="I31" i="21"/>
  <c r="I32" i="21"/>
  <c r="I38" i="21"/>
  <c r="I39" i="21"/>
  <c r="I12" i="20"/>
  <c r="I13" i="20"/>
  <c r="I19" i="20"/>
  <c r="I20" i="20"/>
  <c r="I26" i="20"/>
  <c r="I27" i="20"/>
  <c r="I33" i="20"/>
  <c r="I34" i="20"/>
  <c r="I15" i="19"/>
  <c r="I16" i="19"/>
  <c r="I22" i="19"/>
  <c r="I23" i="19"/>
  <c r="I29" i="19"/>
  <c r="I30" i="19"/>
  <c r="I36" i="19"/>
  <c r="I37" i="19"/>
  <c r="I9" i="19"/>
  <c r="Z4" i="28" l="1"/>
  <c r="Z5" i="28"/>
  <c r="Z6" i="28"/>
  <c r="Z7" i="28"/>
  <c r="Z8" i="28"/>
  <c r="Z9" i="28"/>
  <c r="Z10" i="28"/>
  <c r="Z11" i="28"/>
  <c r="Z12" i="28"/>
  <c r="Z13" i="28"/>
  <c r="Z14" i="28"/>
  <c r="Z15" i="28"/>
  <c r="Z16" i="28"/>
  <c r="Z17" i="28"/>
  <c r="Z18" i="28"/>
  <c r="Z19" i="28"/>
  <c r="Z20" i="28"/>
  <c r="Z21" i="28"/>
  <c r="Z22" i="28"/>
  <c r="Z23" i="28"/>
  <c r="Z24" i="28"/>
  <c r="Z25" i="28"/>
  <c r="Z26" i="28"/>
  <c r="Z27" i="28"/>
  <c r="Z28" i="28"/>
  <c r="Z29" i="28"/>
  <c r="Z30" i="28"/>
  <c r="Z31" i="28"/>
  <c r="Z32" i="28"/>
  <c r="Z33" i="28"/>
  <c r="Z34" i="28"/>
  <c r="Z35" i="28"/>
  <c r="Z36" i="28"/>
  <c r="Z37" i="28"/>
  <c r="Z38" i="28"/>
  <c r="Z39" i="28"/>
  <c r="Z40" i="28"/>
  <c r="Y4" i="28"/>
  <c r="Y5" i="28"/>
  <c r="Y6" i="28"/>
  <c r="Y7" i="28"/>
  <c r="Y8" i="28"/>
  <c r="Y9" i="28"/>
  <c r="Y10" i="28"/>
  <c r="Y11" i="28"/>
  <c r="Y12" i="28"/>
  <c r="Y13" i="28"/>
  <c r="Y14" i="28"/>
  <c r="Y15" i="28"/>
  <c r="Y16" i="28"/>
  <c r="Y17" i="28"/>
  <c r="Y18" i="28"/>
  <c r="Y19" i="28"/>
  <c r="Y20" i="28"/>
  <c r="Y21" i="28"/>
  <c r="Y22" i="28"/>
  <c r="Y23" i="28"/>
  <c r="Y24" i="28"/>
  <c r="Y25" i="28"/>
  <c r="Y26" i="28"/>
  <c r="Y27" i="28"/>
  <c r="Y28" i="28"/>
  <c r="Y29" i="28"/>
  <c r="Y30" i="28"/>
  <c r="Y31" i="28"/>
  <c r="Y32" i="28"/>
  <c r="Y33" i="28"/>
  <c r="Y34" i="28"/>
  <c r="Y35" i="28"/>
  <c r="Y36" i="28"/>
  <c r="Y37" i="28"/>
  <c r="Y38" i="28"/>
  <c r="Y39" i="28"/>
  <c r="Y40" i="28"/>
  <c r="Y3" i="28" l="1"/>
  <c r="G47" i="30" l="1"/>
  <c r="F47" i="30"/>
  <c r="D47" i="30" s="1"/>
  <c r="C47" i="30"/>
  <c r="G46" i="30"/>
  <c r="F46" i="30"/>
  <c r="D46" i="30" s="1"/>
  <c r="C46" i="30"/>
  <c r="C45" i="30" l="1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9" i="30"/>
  <c r="F10" i="30"/>
  <c r="D10" i="30" s="1"/>
  <c r="F11" i="30"/>
  <c r="D11" i="30" s="1"/>
  <c r="F12" i="30"/>
  <c r="D12" i="30" s="1"/>
  <c r="F13" i="30"/>
  <c r="D13" i="30" s="1"/>
  <c r="F14" i="30"/>
  <c r="D14" i="30" s="1"/>
  <c r="F15" i="30"/>
  <c r="D15" i="30" s="1"/>
  <c r="F16" i="30"/>
  <c r="D16" i="30" s="1"/>
  <c r="F17" i="30"/>
  <c r="D17" i="30" s="1"/>
  <c r="F18" i="30"/>
  <c r="D18" i="30" s="1"/>
  <c r="F19" i="30"/>
  <c r="D19" i="30" s="1"/>
  <c r="F20" i="30"/>
  <c r="D20" i="30" s="1"/>
  <c r="F21" i="30"/>
  <c r="D21" i="30" s="1"/>
  <c r="F22" i="30"/>
  <c r="D22" i="30" s="1"/>
  <c r="F23" i="30"/>
  <c r="D23" i="30" s="1"/>
  <c r="F24" i="30"/>
  <c r="D24" i="30" s="1"/>
  <c r="F25" i="30"/>
  <c r="D25" i="30" s="1"/>
  <c r="F26" i="30"/>
  <c r="D26" i="30" s="1"/>
  <c r="F27" i="30"/>
  <c r="D27" i="30" s="1"/>
  <c r="F28" i="30"/>
  <c r="D28" i="30" s="1"/>
  <c r="F29" i="30"/>
  <c r="D29" i="30" s="1"/>
  <c r="F30" i="30"/>
  <c r="D30" i="30" s="1"/>
  <c r="F31" i="30"/>
  <c r="D31" i="30" s="1"/>
  <c r="F32" i="30"/>
  <c r="D32" i="30" s="1"/>
  <c r="F33" i="30"/>
  <c r="D33" i="30" s="1"/>
  <c r="F34" i="30"/>
  <c r="D34" i="30" s="1"/>
  <c r="F35" i="30"/>
  <c r="D35" i="30" s="1"/>
  <c r="F36" i="30"/>
  <c r="D36" i="30" s="1"/>
  <c r="F37" i="30"/>
  <c r="D37" i="30" s="1"/>
  <c r="F38" i="30"/>
  <c r="D38" i="30" s="1"/>
  <c r="F39" i="30"/>
  <c r="D39" i="30" s="1"/>
  <c r="F40" i="30"/>
  <c r="D40" i="30" s="1"/>
  <c r="F41" i="30"/>
  <c r="D41" i="30" s="1"/>
  <c r="F42" i="30"/>
  <c r="D42" i="30" s="1"/>
  <c r="F43" i="30"/>
  <c r="D43" i="30" s="1"/>
  <c r="F44" i="30"/>
  <c r="D44" i="30" s="1"/>
  <c r="F45" i="30"/>
  <c r="D45" i="30" s="1"/>
  <c r="F9" i="30"/>
  <c r="D9" i="30" s="1"/>
  <c r="AC4" i="28"/>
  <c r="J10" i="30" s="1"/>
  <c r="AC5" i="28"/>
  <c r="J11" i="30" s="1"/>
  <c r="AC6" i="28"/>
  <c r="J12" i="30" s="1"/>
  <c r="AC7" i="28"/>
  <c r="J13" i="30" s="1"/>
  <c r="AC8" i="28"/>
  <c r="J14" i="30" s="1"/>
  <c r="AC9" i="28"/>
  <c r="J15" i="30" s="1"/>
  <c r="AC10" i="28"/>
  <c r="J16" i="30" s="1"/>
  <c r="AC11" i="28"/>
  <c r="J17" i="30" s="1"/>
  <c r="AC12" i="28"/>
  <c r="J18" i="30" s="1"/>
  <c r="AC13" i="28"/>
  <c r="J19" i="30" s="1"/>
  <c r="AC14" i="28"/>
  <c r="J20" i="30" s="1"/>
  <c r="AC15" i="28"/>
  <c r="J21" i="30" s="1"/>
  <c r="AC16" i="28"/>
  <c r="J22" i="30" s="1"/>
  <c r="AC17" i="28"/>
  <c r="J23" i="30" s="1"/>
  <c r="AC18" i="28"/>
  <c r="J24" i="30" s="1"/>
  <c r="AC19" i="28"/>
  <c r="N25" i="30" s="1"/>
  <c r="AC20" i="28"/>
  <c r="J26" i="30" s="1"/>
  <c r="AC21" i="28"/>
  <c r="J27" i="30" s="1"/>
  <c r="AC22" i="28"/>
  <c r="J28" i="30" s="1"/>
  <c r="AC23" i="28"/>
  <c r="J29" i="30" s="1"/>
  <c r="AC24" i="28"/>
  <c r="J30" i="30" s="1"/>
  <c r="AC25" i="28"/>
  <c r="N31" i="30" s="1"/>
  <c r="AC26" i="28"/>
  <c r="J32" i="30" s="1"/>
  <c r="AC27" i="28"/>
  <c r="J33" i="30" s="1"/>
  <c r="AC28" i="28"/>
  <c r="J34" i="30" s="1"/>
  <c r="AC29" i="28"/>
  <c r="J35" i="30" s="1"/>
  <c r="AC30" i="28"/>
  <c r="J36" i="30" s="1"/>
  <c r="N37" i="30"/>
  <c r="AC31" i="28"/>
  <c r="J38" i="30" s="1"/>
  <c r="AC32" i="28"/>
  <c r="J39" i="30" s="1"/>
  <c r="AC33" i="28"/>
  <c r="J40" i="30" s="1"/>
  <c r="AC34" i="28"/>
  <c r="J41" i="30" s="1"/>
  <c r="AC35" i="28"/>
  <c r="J42" i="30" s="1"/>
  <c r="AC36" i="28"/>
  <c r="N43" i="30" s="1"/>
  <c r="AC37" i="28"/>
  <c r="J44" i="30" s="1"/>
  <c r="AC38" i="28"/>
  <c r="J45" i="30" s="1"/>
  <c r="AC39" i="28"/>
  <c r="AC40" i="28"/>
  <c r="AB4" i="28"/>
  <c r="AB5" i="28"/>
  <c r="AB6" i="28"/>
  <c r="AB7" i="28"/>
  <c r="AB8" i="28"/>
  <c r="AB9" i="28"/>
  <c r="AB10" i="28"/>
  <c r="AB11" i="28"/>
  <c r="AB12" i="28"/>
  <c r="AB13" i="28"/>
  <c r="AB14" i="28"/>
  <c r="AB15" i="28"/>
  <c r="AB16" i="28"/>
  <c r="AB17" i="28"/>
  <c r="AB18" i="28"/>
  <c r="AB19" i="28"/>
  <c r="AB20" i="28"/>
  <c r="AB21" i="28"/>
  <c r="AB22" i="28"/>
  <c r="AB23" i="28"/>
  <c r="AB24" i="28"/>
  <c r="AB25" i="28"/>
  <c r="AB26" i="28"/>
  <c r="AB27" i="28"/>
  <c r="AB28" i="28"/>
  <c r="AB29" i="28"/>
  <c r="AB30" i="28"/>
  <c r="AB31" i="28"/>
  <c r="AB32" i="28"/>
  <c r="AB33" i="28"/>
  <c r="AB34" i="28"/>
  <c r="AB35" i="28"/>
  <c r="AB36" i="28"/>
  <c r="AB37" i="28"/>
  <c r="AB38" i="28"/>
  <c r="AB39" i="28"/>
  <c r="AB40" i="28"/>
  <c r="B16" i="27"/>
  <c r="B25" i="27"/>
  <c r="B40" i="27"/>
  <c r="N38" i="30" l="1"/>
  <c r="N34" i="30"/>
  <c r="N32" i="30"/>
  <c r="C40" i="27"/>
  <c r="C16" i="27"/>
  <c r="C25" i="27"/>
  <c r="N27" i="30"/>
  <c r="N26" i="30"/>
  <c r="N44" i="30"/>
  <c r="B46" i="30"/>
  <c r="E46" i="30" s="1"/>
  <c r="B39" i="27"/>
  <c r="U27" i="28"/>
  <c r="B27" i="27"/>
  <c r="U15" i="28"/>
  <c r="B15" i="27"/>
  <c r="U38" i="28"/>
  <c r="B38" i="27"/>
  <c r="U32" i="28"/>
  <c r="B32" i="27"/>
  <c r="U26" i="28"/>
  <c r="B26" i="27"/>
  <c r="U20" i="28"/>
  <c r="B20" i="27"/>
  <c r="U14" i="28"/>
  <c r="B14" i="27"/>
  <c r="U13" i="28"/>
  <c r="B13" i="27"/>
  <c r="U12" i="28"/>
  <c r="B12" i="27"/>
  <c r="U36" i="28"/>
  <c r="B36" i="27"/>
  <c r="U30" i="28"/>
  <c r="B30" i="27"/>
  <c r="U24" i="28"/>
  <c r="B24" i="27"/>
  <c r="U18" i="28"/>
  <c r="B18" i="27"/>
  <c r="U33" i="28"/>
  <c r="B33" i="27"/>
  <c r="U31" i="28"/>
  <c r="B31" i="27"/>
  <c r="U19" i="28"/>
  <c r="B19" i="27"/>
  <c r="U40" i="28"/>
  <c r="B41" i="27"/>
  <c r="U35" i="28"/>
  <c r="B35" i="27"/>
  <c r="U29" i="28"/>
  <c r="B29" i="27"/>
  <c r="U23" i="28"/>
  <c r="B23" i="27"/>
  <c r="U17" i="28"/>
  <c r="B17" i="27"/>
  <c r="U37" i="28"/>
  <c r="B37" i="27"/>
  <c r="U34" i="28"/>
  <c r="B34" i="27"/>
  <c r="U28" i="28"/>
  <c r="B28" i="27"/>
  <c r="U22" i="28"/>
  <c r="B22" i="27"/>
  <c r="U21" i="28"/>
  <c r="B21" i="27"/>
  <c r="N36" i="30"/>
  <c r="N41" i="30"/>
  <c r="N30" i="30"/>
  <c r="N40" i="30"/>
  <c r="N28" i="30"/>
  <c r="N29" i="30"/>
  <c r="N35" i="30"/>
  <c r="N33" i="30"/>
  <c r="N39" i="30"/>
  <c r="N45" i="30"/>
  <c r="AA36" i="28"/>
  <c r="AA25" i="28"/>
  <c r="AA19" i="28"/>
  <c r="AA13" i="28"/>
  <c r="AA7" i="28"/>
  <c r="AA40" i="28"/>
  <c r="AA35" i="28"/>
  <c r="AA30" i="28"/>
  <c r="AA24" i="28"/>
  <c r="AA18" i="28"/>
  <c r="AA12" i="28"/>
  <c r="AA6" i="28"/>
  <c r="U25" i="28"/>
  <c r="A25" i="27"/>
  <c r="U16" i="28"/>
  <c r="A16" i="27"/>
  <c r="AA34" i="28"/>
  <c r="AA29" i="28"/>
  <c r="AA23" i="28"/>
  <c r="AA17" i="28"/>
  <c r="AA11" i="28"/>
  <c r="AA5" i="28"/>
  <c r="AA33" i="28"/>
  <c r="AA28" i="28"/>
  <c r="AA22" i="28"/>
  <c r="AA16" i="28"/>
  <c r="AA10" i="28"/>
  <c r="AA4" i="28"/>
  <c r="N42" i="30"/>
  <c r="AA32" i="28"/>
  <c r="AA27" i="28"/>
  <c r="AA21" i="28"/>
  <c r="AA15" i="28"/>
  <c r="AA9" i="28"/>
  <c r="N24" i="30"/>
  <c r="AA37" i="28"/>
  <c r="AA31" i="28"/>
  <c r="AA26" i="28"/>
  <c r="AA20" i="28"/>
  <c r="AA14" i="28"/>
  <c r="AA8" i="28"/>
  <c r="AA39" i="28"/>
  <c r="AA38" i="28"/>
  <c r="N47" i="30"/>
  <c r="J47" i="30"/>
  <c r="J46" i="30"/>
  <c r="N46" i="30"/>
  <c r="J43" i="30"/>
  <c r="J37" i="30"/>
  <c r="J31" i="30"/>
  <c r="J25" i="30"/>
  <c r="B47" i="30"/>
  <c r="U39" i="28"/>
  <c r="V40" i="28"/>
  <c r="W40" i="28"/>
  <c r="C9" i="30"/>
  <c r="N10" i="30"/>
  <c r="N11" i="30"/>
  <c r="N12" i="30"/>
  <c r="N13" i="30"/>
  <c r="N14" i="30"/>
  <c r="N15" i="30"/>
  <c r="N16" i="30"/>
  <c r="N17" i="30"/>
  <c r="N18" i="30"/>
  <c r="N19" i="30"/>
  <c r="N20" i="30"/>
  <c r="N21" i="30"/>
  <c r="N22" i="30"/>
  <c r="N23" i="30"/>
  <c r="AC3" i="28"/>
  <c r="J9" i="30" s="1"/>
  <c r="C28" i="27" l="1"/>
  <c r="C35" i="27"/>
  <c r="C31" i="27"/>
  <c r="C12" i="27"/>
  <c r="C20" i="27"/>
  <c r="C38" i="27"/>
  <c r="C17" i="27"/>
  <c r="C24" i="27"/>
  <c r="C39" i="27"/>
  <c r="C21" i="27"/>
  <c r="C34" i="27"/>
  <c r="C23" i="27"/>
  <c r="C41" i="27"/>
  <c r="C33" i="27"/>
  <c r="C30" i="27"/>
  <c r="C13" i="27"/>
  <c r="C26" i="27"/>
  <c r="C15" i="27"/>
  <c r="C22" i="27"/>
  <c r="C37" i="27"/>
  <c r="C29" i="27"/>
  <c r="C19" i="27"/>
  <c r="C18" i="27"/>
  <c r="C36" i="27"/>
  <c r="C14" i="27"/>
  <c r="C32" i="27"/>
  <c r="C27" i="27"/>
  <c r="A31" i="27"/>
  <c r="N9" i="30"/>
  <c r="O58" i="30" s="1"/>
  <c r="E47" i="30"/>
  <c r="AB3" i="28"/>
  <c r="B4" i="27" l="1"/>
  <c r="B5" i="27"/>
  <c r="B6" i="27"/>
  <c r="B7" i="27"/>
  <c r="B8" i="27"/>
  <c r="B10" i="27"/>
  <c r="B11" i="27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34" i="30"/>
  <c r="B35" i="30"/>
  <c r="B36" i="30"/>
  <c r="B37" i="30"/>
  <c r="B38" i="30"/>
  <c r="B39" i="30"/>
  <c r="B40" i="30"/>
  <c r="B41" i="30"/>
  <c r="B42" i="30"/>
  <c r="B43" i="30"/>
  <c r="B44" i="30"/>
  <c r="B45" i="30"/>
  <c r="D36" i="27" l="1"/>
  <c r="D20" i="27"/>
  <c r="D28" i="27"/>
  <c r="D22" i="27"/>
  <c r="D14" i="27"/>
  <c r="D30" i="27"/>
  <c r="D21" i="27"/>
  <c r="D12" i="27"/>
  <c r="D37" i="27"/>
  <c r="D38" i="27"/>
  <c r="D13" i="27"/>
  <c r="D29" i="27"/>
  <c r="C5" i="27"/>
  <c r="C10" i="27"/>
  <c r="C4" i="27"/>
  <c r="D4" i="27" s="1"/>
  <c r="C11" i="27"/>
  <c r="D11" i="27" s="1"/>
  <c r="C8" i="27"/>
  <c r="C7" i="27"/>
  <c r="C6" i="27"/>
  <c r="D6" i="27" s="1"/>
  <c r="D16" i="27"/>
  <c r="D40" i="27"/>
  <c r="D25" i="27"/>
  <c r="D18" i="27"/>
  <c r="D17" i="27"/>
  <c r="D27" i="27"/>
  <c r="D35" i="27"/>
  <c r="D41" i="27"/>
  <c r="D23" i="27"/>
  <c r="D31" i="27"/>
  <c r="D15" i="27"/>
  <c r="D26" i="27"/>
  <c r="D24" i="27"/>
  <c r="D34" i="27"/>
  <c r="D19" i="27"/>
  <c r="D39" i="27"/>
  <c r="D33" i="27"/>
  <c r="D32" i="27"/>
  <c r="B9" i="27"/>
  <c r="K1" i="30"/>
  <c r="B3" i="27"/>
  <c r="A43" i="30"/>
  <c r="A37" i="30"/>
  <c r="A31" i="30"/>
  <c r="A25" i="30"/>
  <c r="A33" i="30"/>
  <c r="A21" i="30"/>
  <c r="A39" i="30"/>
  <c r="A27" i="30"/>
  <c r="A44" i="30"/>
  <c r="A38" i="30"/>
  <c r="A32" i="30"/>
  <c r="A26" i="30"/>
  <c r="A20" i="30"/>
  <c r="A42" i="30"/>
  <c r="A36" i="30"/>
  <c r="A30" i="30"/>
  <c r="A24" i="30"/>
  <c r="A45" i="30"/>
  <c r="A46" i="30"/>
  <c r="A47" i="30"/>
  <c r="A41" i="30"/>
  <c r="A35" i="30"/>
  <c r="A29" i="30"/>
  <c r="A23" i="30"/>
  <c r="A40" i="30"/>
  <c r="A34" i="30"/>
  <c r="A28" i="30"/>
  <c r="A22" i="30"/>
  <c r="B14" i="30"/>
  <c r="U8" i="28"/>
  <c r="B13" i="30"/>
  <c r="U7" i="28"/>
  <c r="B12" i="30"/>
  <c r="U6" i="28"/>
  <c r="B15" i="30"/>
  <c r="U9" i="28"/>
  <c r="B17" i="30"/>
  <c r="U11" i="28"/>
  <c r="B11" i="30"/>
  <c r="U5" i="28"/>
  <c r="B16" i="30"/>
  <c r="E16" i="30" s="1"/>
  <c r="U10" i="28"/>
  <c r="B10" i="30"/>
  <c r="U4" i="28"/>
  <c r="B9" i="30"/>
  <c r="A9" i="30" s="1"/>
  <c r="X40" i="28"/>
  <c r="E20" i="30"/>
  <c r="E21" i="30"/>
  <c r="E19" i="30"/>
  <c r="E23" i="30"/>
  <c r="E18" i="30"/>
  <c r="E22" i="30"/>
  <c r="E45" i="30"/>
  <c r="E44" i="30"/>
  <c r="E39" i="30"/>
  <c r="A4" i="27"/>
  <c r="D5" i="27" l="1"/>
  <c r="D7" i="27"/>
  <c r="D10" i="27"/>
  <c r="D8" i="27"/>
  <c r="C3" i="27"/>
  <c r="D3" i="27" s="1"/>
  <c r="A9" i="27"/>
  <c r="C9" i="27"/>
  <c r="A16" i="30"/>
  <c r="A14" i="30"/>
  <c r="A11" i="30"/>
  <c r="A12" i="30"/>
  <c r="E15" i="30"/>
  <c r="A15" i="30"/>
  <c r="A18" i="30"/>
  <c r="A10" i="30"/>
  <c r="A17" i="30"/>
  <c r="A13" i="30"/>
  <c r="A19" i="30"/>
  <c r="E17" i="30"/>
  <c r="E12" i="30"/>
  <c r="E11" i="30"/>
  <c r="E10" i="30"/>
  <c r="E13" i="30"/>
  <c r="E14" i="30"/>
  <c r="E9" i="30"/>
  <c r="A30" i="27"/>
  <c r="A32" i="27"/>
  <c r="A33" i="27"/>
  <c r="A34" i="27"/>
  <c r="A35" i="27"/>
  <c r="A36" i="27"/>
  <c r="A37" i="27"/>
  <c r="A38" i="27"/>
  <c r="A39" i="27"/>
  <c r="A40" i="27"/>
  <c r="A41" i="27"/>
  <c r="D9" i="27" l="1"/>
  <c r="E42" i="30"/>
  <c r="E41" i="30"/>
  <c r="E40" i="30"/>
  <c r="E38" i="30"/>
  <c r="E43" i="30"/>
  <c r="E37" i="30"/>
  <c r="E36" i="30"/>
  <c r="V4" i="28"/>
  <c r="V10" i="28"/>
  <c r="V16" i="28"/>
  <c r="V22" i="28"/>
  <c r="V23" i="28"/>
  <c r="V28" i="28"/>
  <c r="V33" i="28"/>
  <c r="V34" i="28"/>
  <c r="V39" i="28"/>
  <c r="V8" i="28" l="1"/>
  <c r="V31" i="28"/>
  <c r="V26" i="28"/>
  <c r="V20" i="28"/>
  <c r="V14" i="28"/>
  <c r="V17" i="28"/>
  <c r="V29" i="28"/>
  <c r="V11" i="28"/>
  <c r="V5" i="28"/>
  <c r="V37" i="28"/>
  <c r="V38" i="28"/>
  <c r="V32" i="28"/>
  <c r="V27" i="28"/>
  <c r="V21" i="28"/>
  <c r="V15" i="28"/>
  <c r="V9" i="28"/>
  <c r="V36" i="28"/>
  <c r="V25" i="28"/>
  <c r="V19" i="28"/>
  <c r="V13" i="28"/>
  <c r="V7" i="28"/>
  <c r="V35" i="28"/>
  <c r="V30" i="28"/>
  <c r="V24" i="28"/>
  <c r="V18" i="28"/>
  <c r="V12" i="28"/>
  <c r="V6" i="28"/>
  <c r="I44" i="26"/>
  <c r="I43" i="25"/>
  <c r="I44" i="24"/>
  <c r="I43" i="23"/>
  <c r="I44" i="22"/>
  <c r="I43" i="20"/>
  <c r="I44" i="19"/>
  <c r="I43" i="18"/>
  <c r="I44" i="17"/>
  <c r="I41" i="16"/>
  <c r="I44" i="29"/>
  <c r="Z3" i="28" l="1"/>
  <c r="I34" i="16"/>
  <c r="E29" i="27" l="1"/>
  <c r="E14" i="27"/>
  <c r="E40" i="27"/>
  <c r="E26" i="27"/>
  <c r="E15" i="27"/>
  <c r="E17" i="27"/>
  <c r="E20" i="27"/>
  <c r="E16" i="27"/>
  <c r="E35" i="27"/>
  <c r="E24" i="27"/>
  <c r="E21" i="27"/>
  <c r="E34" i="27"/>
  <c r="E12" i="27"/>
  <c r="E25" i="27"/>
  <c r="E33" i="27"/>
  <c r="E32" i="27"/>
  <c r="E30" i="27"/>
  <c r="E13" i="27"/>
  <c r="E38" i="27"/>
  <c r="E22" i="27"/>
  <c r="E28" i="27"/>
  <c r="E19" i="27"/>
  <c r="E41" i="27"/>
  <c r="E39" i="27"/>
  <c r="E23" i="27"/>
  <c r="E36" i="27"/>
  <c r="E37" i="27"/>
  <c r="E18" i="27"/>
  <c r="E31" i="27"/>
  <c r="E27" i="27"/>
  <c r="E5" i="27"/>
  <c r="E4" i="27"/>
  <c r="E8" i="27"/>
  <c r="E7" i="27"/>
  <c r="E11" i="27"/>
  <c r="E10" i="27"/>
  <c r="E6" i="27"/>
  <c r="E9" i="27"/>
  <c r="A20" i="27"/>
  <c r="A27" i="27"/>
  <c r="A21" i="27"/>
  <c r="A15" i="27"/>
  <c r="A8" i="27"/>
  <c r="A19" i="27"/>
  <c r="A13" i="27"/>
  <c r="A7" i="27"/>
  <c r="A14" i="27"/>
  <c r="A24" i="27"/>
  <c r="A18" i="27"/>
  <c r="A12" i="27"/>
  <c r="A6" i="27"/>
  <c r="A29" i="27"/>
  <c r="A23" i="27"/>
  <c r="A17" i="27"/>
  <c r="A11" i="27"/>
  <c r="A5" i="27"/>
  <c r="A26" i="27"/>
  <c r="A28" i="27"/>
  <c r="A22" i="27"/>
  <c r="A10" i="27"/>
  <c r="E10" i="29"/>
  <c r="F10" i="29" s="1"/>
  <c r="E11" i="29"/>
  <c r="F11" i="29" s="1"/>
  <c r="E12" i="29"/>
  <c r="F12" i="29" s="1"/>
  <c r="E13" i="29"/>
  <c r="F13" i="29" s="1"/>
  <c r="E14" i="29"/>
  <c r="F14" i="29" s="1"/>
  <c r="E15" i="29"/>
  <c r="F15" i="29" s="1"/>
  <c r="E16" i="29"/>
  <c r="F16" i="29" s="1"/>
  <c r="E17" i="29"/>
  <c r="F17" i="29" s="1"/>
  <c r="E18" i="29"/>
  <c r="F18" i="29" s="1"/>
  <c r="E19" i="29"/>
  <c r="F19" i="29" s="1"/>
  <c r="E20" i="29"/>
  <c r="F20" i="29" s="1"/>
  <c r="E21" i="29"/>
  <c r="F21" i="29" s="1"/>
  <c r="E22" i="29"/>
  <c r="F22" i="29" s="1"/>
  <c r="E23" i="29"/>
  <c r="F23" i="29" s="1"/>
  <c r="E24" i="29"/>
  <c r="F24" i="29" s="1"/>
  <c r="E25" i="29"/>
  <c r="F25" i="29" s="1"/>
  <c r="E26" i="29"/>
  <c r="F26" i="29" s="1"/>
  <c r="E27" i="29"/>
  <c r="F27" i="29" s="1"/>
  <c r="E28" i="29"/>
  <c r="F28" i="29" s="1"/>
  <c r="E29" i="29"/>
  <c r="F29" i="29" s="1"/>
  <c r="E30" i="29"/>
  <c r="F30" i="29" s="1"/>
  <c r="E31" i="29"/>
  <c r="F31" i="29" s="1"/>
  <c r="E32" i="29"/>
  <c r="F32" i="29" s="1"/>
  <c r="E33" i="29"/>
  <c r="F33" i="29" s="1"/>
  <c r="E34" i="29"/>
  <c r="F34" i="29" s="1"/>
  <c r="E35" i="29"/>
  <c r="F35" i="29" s="1"/>
  <c r="E36" i="29"/>
  <c r="F36" i="29" s="1"/>
  <c r="E37" i="29"/>
  <c r="F37" i="29" s="1"/>
  <c r="E38" i="29"/>
  <c r="F38" i="29" s="1"/>
  <c r="E39" i="29"/>
  <c r="F39" i="29" s="1"/>
  <c r="E9" i="29"/>
  <c r="F9" i="29" s="1"/>
  <c r="F25" i="27" l="1"/>
  <c r="F16" i="27"/>
  <c r="F9" i="27"/>
  <c r="E32" i="30"/>
  <c r="E31" i="30"/>
  <c r="E34" i="30"/>
  <c r="E35" i="30"/>
  <c r="E33" i="30"/>
  <c r="E28" i="30"/>
  <c r="E29" i="30"/>
  <c r="E27" i="30"/>
  <c r="E26" i="30"/>
  <c r="E30" i="30"/>
  <c r="W31" i="28"/>
  <c r="W26" i="28"/>
  <c r="W20" i="28"/>
  <c r="W8" i="28"/>
  <c r="W36" i="28"/>
  <c r="W25" i="28"/>
  <c r="W19" i="28"/>
  <c r="W13" i="28"/>
  <c r="W7" i="28"/>
  <c r="W39" i="28"/>
  <c r="W37" i="28"/>
  <c r="W30" i="28"/>
  <c r="W18" i="28"/>
  <c r="W12" i="28"/>
  <c r="W34" i="28"/>
  <c r="W29" i="28"/>
  <c r="W23" i="28"/>
  <c r="W17" i="28"/>
  <c r="W11" i="28"/>
  <c r="W5" i="28"/>
  <c r="W33" i="28"/>
  <c r="W28" i="28"/>
  <c r="W22" i="28"/>
  <c r="W16" i="28"/>
  <c r="W10" i="28"/>
  <c r="W4" i="28"/>
  <c r="W35" i="28"/>
  <c r="W24" i="28"/>
  <c r="W6" i="28"/>
  <c r="W38" i="28"/>
  <c r="W32" i="28"/>
  <c r="W27" i="28"/>
  <c r="W21" i="28"/>
  <c r="W15" i="28"/>
  <c r="W9" i="28"/>
  <c r="W14" i="28"/>
  <c r="E24" i="30" l="1"/>
  <c r="E25" i="30"/>
  <c r="AA3" i="28" l="1"/>
  <c r="E9" i="17" l="1"/>
  <c r="E9" i="23"/>
  <c r="F9" i="23" s="1"/>
  <c r="E10" i="23"/>
  <c r="E11" i="23"/>
  <c r="F11" i="23" s="1"/>
  <c r="E12" i="23"/>
  <c r="F12" i="23" s="1"/>
  <c r="E13" i="23"/>
  <c r="F13" i="23" s="1"/>
  <c r="E14" i="23"/>
  <c r="E15" i="23"/>
  <c r="F15" i="23" s="1"/>
  <c r="E16" i="23"/>
  <c r="F16" i="23"/>
  <c r="E17" i="23"/>
  <c r="F17" i="23" s="1"/>
  <c r="E18" i="23"/>
  <c r="F18" i="23" s="1"/>
  <c r="E19" i="23"/>
  <c r="F19" i="23" s="1"/>
  <c r="E20" i="23"/>
  <c r="F20" i="23" s="1"/>
  <c r="E21" i="23"/>
  <c r="F21" i="23" s="1"/>
  <c r="E22" i="23"/>
  <c r="F22" i="23" s="1"/>
  <c r="E23" i="23"/>
  <c r="E24" i="23"/>
  <c r="F24" i="23"/>
  <c r="E25" i="23"/>
  <c r="F25" i="23" s="1"/>
  <c r="E26" i="23"/>
  <c r="F26" i="23" s="1"/>
  <c r="E27" i="23"/>
  <c r="F27" i="23" s="1"/>
  <c r="E28" i="23"/>
  <c r="F28" i="23" s="1"/>
  <c r="E29" i="23"/>
  <c r="F29" i="23" s="1"/>
  <c r="E30" i="23"/>
  <c r="F30" i="23" s="1"/>
  <c r="E31" i="23"/>
  <c r="F31" i="23" s="1"/>
  <c r="E32" i="23"/>
  <c r="E33" i="23"/>
  <c r="F33" i="23" s="1"/>
  <c r="E34" i="23"/>
  <c r="F34" i="23" s="1"/>
  <c r="E35" i="23"/>
  <c r="F35" i="23" s="1"/>
  <c r="E36" i="23"/>
  <c r="F36" i="23" s="1"/>
  <c r="A37" i="23"/>
  <c r="C37" i="23" s="1"/>
  <c r="A38" i="23"/>
  <c r="A38" i="25"/>
  <c r="A37" i="25"/>
  <c r="E36" i="25"/>
  <c r="C37" i="25" s="1"/>
  <c r="E35" i="25"/>
  <c r="F35" i="25" s="1"/>
  <c r="E34" i="25"/>
  <c r="F34" i="25" s="1"/>
  <c r="E33" i="25"/>
  <c r="E32" i="25"/>
  <c r="E31" i="25"/>
  <c r="F31" i="25" s="1"/>
  <c r="E30" i="25"/>
  <c r="E29" i="25"/>
  <c r="F29" i="25" s="1"/>
  <c r="E28" i="25"/>
  <c r="F28" i="25" s="1"/>
  <c r="E27" i="25"/>
  <c r="F27" i="25" s="1"/>
  <c r="E26" i="25"/>
  <c r="F26" i="25" s="1"/>
  <c r="E25" i="25"/>
  <c r="E24" i="25"/>
  <c r="F24" i="25" s="1"/>
  <c r="E23" i="25"/>
  <c r="F23" i="25" s="1"/>
  <c r="E22" i="25"/>
  <c r="F22" i="25" s="1"/>
  <c r="E21" i="25"/>
  <c r="E20" i="25"/>
  <c r="F20" i="25" s="1"/>
  <c r="E19" i="25"/>
  <c r="F19" i="25" s="1"/>
  <c r="E18" i="25"/>
  <c r="F18" i="25" s="1"/>
  <c r="E17" i="25"/>
  <c r="F17" i="25"/>
  <c r="E16" i="25"/>
  <c r="E15" i="25"/>
  <c r="F15" i="25" s="1"/>
  <c r="E14" i="25"/>
  <c r="F14" i="25" s="1"/>
  <c r="E13" i="25"/>
  <c r="F13" i="25" s="1"/>
  <c r="E12" i="25"/>
  <c r="E11" i="25"/>
  <c r="F11" i="25" s="1"/>
  <c r="E10" i="25"/>
  <c r="F10" i="25" s="1"/>
  <c r="E9" i="25"/>
  <c r="F9" i="25"/>
  <c r="A39" i="24"/>
  <c r="A38" i="24"/>
  <c r="A37" i="24"/>
  <c r="E36" i="24"/>
  <c r="C39" i="24" s="1"/>
  <c r="E35" i="24"/>
  <c r="F35" i="24" s="1"/>
  <c r="E34" i="24"/>
  <c r="F34" i="24" s="1"/>
  <c r="E33" i="24"/>
  <c r="F33" i="24" s="1"/>
  <c r="E32" i="24"/>
  <c r="F32" i="24" s="1"/>
  <c r="E31" i="24"/>
  <c r="F31" i="24" s="1"/>
  <c r="E30" i="24"/>
  <c r="F30" i="24" s="1"/>
  <c r="E29" i="24"/>
  <c r="F29" i="24" s="1"/>
  <c r="E28" i="24"/>
  <c r="F28" i="24" s="1"/>
  <c r="E27" i="24"/>
  <c r="F27" i="24" s="1"/>
  <c r="E26" i="24"/>
  <c r="F26" i="24" s="1"/>
  <c r="E25" i="24"/>
  <c r="F25" i="24" s="1"/>
  <c r="E24" i="24"/>
  <c r="F24" i="24" s="1"/>
  <c r="E23" i="24"/>
  <c r="F23" i="24" s="1"/>
  <c r="E22" i="24"/>
  <c r="F22" i="24" s="1"/>
  <c r="E21" i="24"/>
  <c r="F21" i="24" s="1"/>
  <c r="E20" i="24"/>
  <c r="F20" i="24" s="1"/>
  <c r="E19" i="24"/>
  <c r="F19" i="24" s="1"/>
  <c r="E18" i="24"/>
  <c r="F18" i="24" s="1"/>
  <c r="E17" i="24"/>
  <c r="F17" i="24" s="1"/>
  <c r="E16" i="24"/>
  <c r="F16" i="24" s="1"/>
  <c r="E15" i="24"/>
  <c r="F15" i="24" s="1"/>
  <c r="E14" i="24"/>
  <c r="F14" i="24" s="1"/>
  <c r="E13" i="24"/>
  <c r="F13" i="24" s="1"/>
  <c r="E12" i="24"/>
  <c r="F12" i="24" s="1"/>
  <c r="E11" i="24"/>
  <c r="F11" i="24"/>
  <c r="E10" i="24"/>
  <c r="F10" i="24" s="1"/>
  <c r="E9" i="24"/>
  <c r="F9" i="24" s="1"/>
  <c r="A39" i="22"/>
  <c r="C39" i="22" s="1"/>
  <c r="A38" i="22"/>
  <c r="A37" i="22"/>
  <c r="E36" i="22"/>
  <c r="E35" i="22"/>
  <c r="F35" i="22" s="1"/>
  <c r="E34" i="22"/>
  <c r="F34" i="22" s="1"/>
  <c r="E33" i="22"/>
  <c r="F33" i="22" s="1"/>
  <c r="E32" i="22"/>
  <c r="F32" i="22" s="1"/>
  <c r="E31" i="22"/>
  <c r="F31" i="22" s="1"/>
  <c r="E30" i="22"/>
  <c r="F30" i="22" s="1"/>
  <c r="E29" i="22"/>
  <c r="F29" i="22" s="1"/>
  <c r="E28" i="22"/>
  <c r="F28" i="22" s="1"/>
  <c r="E27" i="22"/>
  <c r="F27" i="22" s="1"/>
  <c r="E26" i="22"/>
  <c r="F26" i="22" s="1"/>
  <c r="E25" i="22"/>
  <c r="F25" i="22" s="1"/>
  <c r="E24" i="22"/>
  <c r="F24" i="22" s="1"/>
  <c r="E23" i="22"/>
  <c r="F23" i="22" s="1"/>
  <c r="E22" i="22"/>
  <c r="F22" i="22" s="1"/>
  <c r="E21" i="22"/>
  <c r="F21" i="22" s="1"/>
  <c r="E20" i="22"/>
  <c r="F20" i="22"/>
  <c r="E19" i="22"/>
  <c r="F19" i="22" s="1"/>
  <c r="E18" i="22"/>
  <c r="F18" i="22" s="1"/>
  <c r="E17" i="22"/>
  <c r="F17" i="22" s="1"/>
  <c r="E16" i="22"/>
  <c r="F16" i="22" s="1"/>
  <c r="E15" i="22"/>
  <c r="F15" i="22" s="1"/>
  <c r="E14" i="22"/>
  <c r="F14" i="22" s="1"/>
  <c r="E13" i="22"/>
  <c r="F13" i="22" s="1"/>
  <c r="E12" i="22"/>
  <c r="F12" i="22" s="1"/>
  <c r="E11" i="22"/>
  <c r="F11" i="22"/>
  <c r="E10" i="22"/>
  <c r="F10" i="22" s="1"/>
  <c r="E9" i="22"/>
  <c r="F9" i="22" s="1"/>
  <c r="A39" i="21"/>
  <c r="A38" i="21"/>
  <c r="A37" i="21"/>
  <c r="E36" i="21"/>
  <c r="C39" i="21" s="1"/>
  <c r="E39" i="21" s="1"/>
  <c r="F39" i="21" s="1"/>
  <c r="E35" i="21"/>
  <c r="F35" i="21" s="1"/>
  <c r="E34" i="21"/>
  <c r="F34" i="21" s="1"/>
  <c r="E33" i="21"/>
  <c r="F33" i="21" s="1"/>
  <c r="E32" i="21"/>
  <c r="F32" i="21" s="1"/>
  <c r="E31" i="21"/>
  <c r="F31" i="21" s="1"/>
  <c r="E30" i="21"/>
  <c r="F30" i="21" s="1"/>
  <c r="E29" i="21"/>
  <c r="F29" i="21" s="1"/>
  <c r="E28" i="21"/>
  <c r="F28" i="21" s="1"/>
  <c r="E27" i="21"/>
  <c r="F27" i="21" s="1"/>
  <c r="E26" i="21"/>
  <c r="F26" i="21" s="1"/>
  <c r="E25" i="21"/>
  <c r="F25" i="21" s="1"/>
  <c r="E24" i="21"/>
  <c r="F24" i="21" s="1"/>
  <c r="E23" i="21"/>
  <c r="F23" i="21" s="1"/>
  <c r="E22" i="21"/>
  <c r="F22" i="21" s="1"/>
  <c r="E21" i="21"/>
  <c r="F21" i="21" s="1"/>
  <c r="E20" i="21"/>
  <c r="F20" i="21" s="1"/>
  <c r="E19" i="21"/>
  <c r="F19" i="21" s="1"/>
  <c r="E18" i="21"/>
  <c r="F18" i="21" s="1"/>
  <c r="F17" i="21"/>
  <c r="E17" i="21"/>
  <c r="E16" i="21"/>
  <c r="F16" i="21" s="1"/>
  <c r="E15" i="21"/>
  <c r="F15" i="21" s="1"/>
  <c r="E14" i="21"/>
  <c r="F14" i="21" s="1"/>
  <c r="E13" i="21"/>
  <c r="F13" i="21" s="1"/>
  <c r="E12" i="21"/>
  <c r="F12" i="21"/>
  <c r="F11" i="21"/>
  <c r="E11" i="21"/>
  <c r="E10" i="21"/>
  <c r="F10" i="21" s="1"/>
  <c r="E9" i="21"/>
  <c r="F9" i="21" s="1"/>
  <c r="A38" i="20"/>
  <c r="C38" i="20" s="1"/>
  <c r="E38" i="20" s="1"/>
  <c r="F38" i="20" s="1"/>
  <c r="A37" i="20"/>
  <c r="C37" i="20" s="1"/>
  <c r="E36" i="20"/>
  <c r="E35" i="20"/>
  <c r="F35" i="20" s="1"/>
  <c r="E34" i="20"/>
  <c r="E33" i="20"/>
  <c r="F33" i="20" s="1"/>
  <c r="E32" i="20"/>
  <c r="F32" i="20" s="1"/>
  <c r="E31" i="20"/>
  <c r="F31" i="20" s="1"/>
  <c r="E30" i="20"/>
  <c r="F30" i="20" s="1"/>
  <c r="E29" i="20"/>
  <c r="E28" i="20"/>
  <c r="F28" i="20"/>
  <c r="E27" i="20"/>
  <c r="F27" i="20" s="1"/>
  <c r="E26" i="20"/>
  <c r="E25" i="20"/>
  <c r="F25" i="20" s="1"/>
  <c r="E24" i="20"/>
  <c r="E23" i="20"/>
  <c r="E22" i="20"/>
  <c r="F22" i="20" s="1"/>
  <c r="E21" i="20"/>
  <c r="F21" i="20" s="1"/>
  <c r="E20" i="20"/>
  <c r="E19" i="20"/>
  <c r="F19" i="20" s="1"/>
  <c r="E18" i="20"/>
  <c r="F18" i="20" s="1"/>
  <c r="E17" i="20"/>
  <c r="F17" i="20" s="1"/>
  <c r="E16" i="20"/>
  <c r="F16" i="20" s="1"/>
  <c r="E15" i="20"/>
  <c r="F15" i="20" s="1"/>
  <c r="E14" i="20"/>
  <c r="F14" i="20"/>
  <c r="E13" i="20"/>
  <c r="F13" i="20" s="1"/>
  <c r="E12" i="20"/>
  <c r="F12" i="20" s="1"/>
  <c r="E11" i="20"/>
  <c r="F11" i="20" s="1"/>
  <c r="E10" i="20"/>
  <c r="F10" i="20"/>
  <c r="E9" i="20"/>
  <c r="F9" i="20" s="1"/>
  <c r="A39" i="19"/>
  <c r="A38" i="19"/>
  <c r="A37" i="19"/>
  <c r="E36" i="19"/>
  <c r="E35" i="19"/>
  <c r="F35" i="19" s="1"/>
  <c r="E34" i="19"/>
  <c r="F34" i="19" s="1"/>
  <c r="E33" i="19"/>
  <c r="F33" i="19" s="1"/>
  <c r="E32" i="19"/>
  <c r="F32" i="19" s="1"/>
  <c r="E31" i="19"/>
  <c r="F31" i="19" s="1"/>
  <c r="E30" i="19"/>
  <c r="F30" i="19" s="1"/>
  <c r="E29" i="19"/>
  <c r="F29" i="19" s="1"/>
  <c r="E28" i="19"/>
  <c r="F28" i="19" s="1"/>
  <c r="E27" i="19"/>
  <c r="F27" i="19" s="1"/>
  <c r="E26" i="19"/>
  <c r="F26" i="19" s="1"/>
  <c r="E25" i="19"/>
  <c r="F25" i="19" s="1"/>
  <c r="E24" i="19"/>
  <c r="F24" i="19" s="1"/>
  <c r="E23" i="19"/>
  <c r="F23" i="19" s="1"/>
  <c r="E22" i="19"/>
  <c r="F22" i="19" s="1"/>
  <c r="E21" i="19"/>
  <c r="F21" i="19" s="1"/>
  <c r="E20" i="19"/>
  <c r="F20" i="19" s="1"/>
  <c r="E19" i="19"/>
  <c r="F19" i="19" s="1"/>
  <c r="E18" i="19"/>
  <c r="F18" i="19" s="1"/>
  <c r="E17" i="19"/>
  <c r="F17" i="19" s="1"/>
  <c r="E16" i="19"/>
  <c r="F16" i="19" s="1"/>
  <c r="E15" i="19"/>
  <c r="F15" i="19" s="1"/>
  <c r="E14" i="19"/>
  <c r="F14" i="19" s="1"/>
  <c r="E13" i="19"/>
  <c r="F13" i="19" s="1"/>
  <c r="E12" i="19"/>
  <c r="F12" i="19" s="1"/>
  <c r="E11" i="19"/>
  <c r="F11" i="19" s="1"/>
  <c r="E10" i="19"/>
  <c r="F10" i="19" s="1"/>
  <c r="E9" i="19"/>
  <c r="F9" i="19" s="1"/>
  <c r="A38" i="18"/>
  <c r="A37" i="18"/>
  <c r="E36" i="18"/>
  <c r="F36" i="18" s="1"/>
  <c r="E35" i="18"/>
  <c r="F35" i="18" s="1"/>
  <c r="E34" i="18"/>
  <c r="F34" i="18" s="1"/>
  <c r="E33" i="18"/>
  <c r="F33" i="18" s="1"/>
  <c r="E32" i="18"/>
  <c r="E31" i="18"/>
  <c r="F31" i="18" s="1"/>
  <c r="E30" i="18"/>
  <c r="F30" i="18" s="1"/>
  <c r="E29" i="18"/>
  <c r="F29" i="18" s="1"/>
  <c r="E28" i="18"/>
  <c r="F28" i="18" s="1"/>
  <c r="E27" i="18"/>
  <c r="F27" i="18" s="1"/>
  <c r="E26" i="18"/>
  <c r="F26" i="18" s="1"/>
  <c r="E25" i="18"/>
  <c r="F25" i="18" s="1"/>
  <c r="E24" i="18"/>
  <c r="F24" i="18" s="1"/>
  <c r="E23" i="18"/>
  <c r="E22" i="18"/>
  <c r="F22" i="18" s="1"/>
  <c r="E21" i="18"/>
  <c r="F21" i="18" s="1"/>
  <c r="E20" i="18"/>
  <c r="E19" i="18"/>
  <c r="F19" i="18" s="1"/>
  <c r="E18" i="18"/>
  <c r="F18" i="18" s="1"/>
  <c r="E17" i="18"/>
  <c r="F17" i="18" s="1"/>
  <c r="E16" i="18"/>
  <c r="F16" i="18" s="1"/>
  <c r="E15" i="18"/>
  <c r="F15" i="18" s="1"/>
  <c r="E14" i="18"/>
  <c r="E13" i="18"/>
  <c r="F13" i="18"/>
  <c r="E12" i="18"/>
  <c r="F12" i="18" s="1"/>
  <c r="E11" i="18"/>
  <c r="E10" i="18"/>
  <c r="F10" i="18" s="1"/>
  <c r="E9" i="18"/>
  <c r="A39" i="17"/>
  <c r="A38" i="17"/>
  <c r="A37" i="17"/>
  <c r="E36" i="17"/>
  <c r="C39" i="17" s="1"/>
  <c r="E39" i="17" s="1"/>
  <c r="E35" i="17"/>
  <c r="F35" i="17" s="1"/>
  <c r="E34" i="17"/>
  <c r="F34" i="17" s="1"/>
  <c r="E33" i="17"/>
  <c r="F33" i="17" s="1"/>
  <c r="E32" i="17"/>
  <c r="F32" i="17" s="1"/>
  <c r="E31" i="17"/>
  <c r="F31" i="17" s="1"/>
  <c r="E30" i="17"/>
  <c r="F30" i="17"/>
  <c r="E29" i="17"/>
  <c r="F29" i="17"/>
  <c r="E28" i="17"/>
  <c r="F28" i="17" s="1"/>
  <c r="E27" i="17"/>
  <c r="F27" i="17" s="1"/>
  <c r="E26" i="17"/>
  <c r="F26" i="17" s="1"/>
  <c r="E25" i="17"/>
  <c r="F25" i="17" s="1"/>
  <c r="E24" i="17"/>
  <c r="F24" i="17" s="1"/>
  <c r="E23" i="17"/>
  <c r="F23" i="17" s="1"/>
  <c r="E22" i="17"/>
  <c r="F22" i="17" s="1"/>
  <c r="E21" i="17"/>
  <c r="F21" i="17" s="1"/>
  <c r="E20" i="17"/>
  <c r="F20" i="17" s="1"/>
  <c r="E19" i="17"/>
  <c r="F19" i="17" s="1"/>
  <c r="E18" i="17"/>
  <c r="F18" i="17" s="1"/>
  <c r="E17" i="17"/>
  <c r="F17" i="17"/>
  <c r="E16" i="17"/>
  <c r="F16" i="17"/>
  <c r="E15" i="17"/>
  <c r="F15" i="17" s="1"/>
  <c r="E14" i="17"/>
  <c r="F14" i="17" s="1"/>
  <c r="E13" i="17"/>
  <c r="F13" i="17" s="1"/>
  <c r="E12" i="17"/>
  <c r="F12" i="17" s="1"/>
  <c r="E11" i="17"/>
  <c r="F11" i="17" s="1"/>
  <c r="E10" i="17"/>
  <c r="F10" i="17" s="1"/>
  <c r="F9" i="17"/>
  <c r="E36" i="16"/>
  <c r="F36" i="16" s="1"/>
  <c r="E35" i="16"/>
  <c r="F35" i="16" s="1"/>
  <c r="E34" i="16"/>
  <c r="F34" i="16" s="1"/>
  <c r="E33" i="16"/>
  <c r="F33" i="16" s="1"/>
  <c r="E32" i="16"/>
  <c r="F32" i="16" s="1"/>
  <c r="E31" i="16"/>
  <c r="F31" i="16" s="1"/>
  <c r="E30" i="16"/>
  <c r="F30" i="16" s="1"/>
  <c r="E29" i="16"/>
  <c r="E28" i="16"/>
  <c r="F28" i="16" s="1"/>
  <c r="E27" i="16"/>
  <c r="F27" i="16" s="1"/>
  <c r="E26" i="16"/>
  <c r="F26" i="16" s="1"/>
  <c r="E25" i="16"/>
  <c r="F25" i="16" s="1"/>
  <c r="E24" i="16"/>
  <c r="F24" i="16" s="1"/>
  <c r="E23" i="16"/>
  <c r="F23" i="16" s="1"/>
  <c r="E22" i="16"/>
  <c r="F22" i="16" s="1"/>
  <c r="E21" i="16"/>
  <c r="F21" i="16" s="1"/>
  <c r="E20" i="16"/>
  <c r="E19" i="16"/>
  <c r="F19" i="16" s="1"/>
  <c r="E18" i="16"/>
  <c r="F18" i="16" s="1"/>
  <c r="E17" i="16"/>
  <c r="F17" i="16"/>
  <c r="E16" i="16"/>
  <c r="F16" i="16" s="1"/>
  <c r="E15" i="16"/>
  <c r="F15" i="16" s="1"/>
  <c r="E14" i="16"/>
  <c r="F14" i="16" s="1"/>
  <c r="E13" i="16"/>
  <c r="F13" i="16" s="1"/>
  <c r="E12" i="16"/>
  <c r="F12" i="16" s="1"/>
  <c r="E11" i="16"/>
  <c r="F11" i="16" s="1"/>
  <c r="E10" i="16"/>
  <c r="F10" i="16" s="1"/>
  <c r="E9" i="16"/>
  <c r="F9" i="16" s="1"/>
  <c r="A39" i="26"/>
  <c r="A38" i="26"/>
  <c r="A37" i="26"/>
  <c r="E36" i="26"/>
  <c r="C37" i="26" s="1"/>
  <c r="E35" i="26"/>
  <c r="F35" i="26" s="1"/>
  <c r="E34" i="26"/>
  <c r="F34" i="26" s="1"/>
  <c r="E33" i="26"/>
  <c r="F33" i="26" s="1"/>
  <c r="E32" i="26"/>
  <c r="F32" i="26" s="1"/>
  <c r="E31" i="26"/>
  <c r="F31" i="26" s="1"/>
  <c r="E30" i="26"/>
  <c r="F30" i="26"/>
  <c r="E29" i="26"/>
  <c r="F29" i="26" s="1"/>
  <c r="E28" i="26"/>
  <c r="F28" i="26" s="1"/>
  <c r="E27" i="26"/>
  <c r="F27" i="26" s="1"/>
  <c r="E26" i="26"/>
  <c r="F26" i="26" s="1"/>
  <c r="E25" i="26"/>
  <c r="F25" i="26" s="1"/>
  <c r="E24" i="26"/>
  <c r="F24" i="26"/>
  <c r="E23" i="26"/>
  <c r="F23" i="26" s="1"/>
  <c r="E22" i="26"/>
  <c r="F22" i="26" s="1"/>
  <c r="E21" i="26"/>
  <c r="F21" i="26" s="1"/>
  <c r="E20" i="26"/>
  <c r="F20" i="26" s="1"/>
  <c r="E19" i="26"/>
  <c r="F19" i="26" s="1"/>
  <c r="E18" i="26"/>
  <c r="F18" i="26"/>
  <c r="E17" i="26"/>
  <c r="F17" i="26" s="1"/>
  <c r="E16" i="26"/>
  <c r="F16" i="26" s="1"/>
  <c r="E15" i="26"/>
  <c r="F15" i="26" s="1"/>
  <c r="E14" i="26"/>
  <c r="F14" i="26" s="1"/>
  <c r="E13" i="26"/>
  <c r="F13" i="26" s="1"/>
  <c r="E12" i="26"/>
  <c r="F12" i="26"/>
  <c r="E11" i="26"/>
  <c r="F11" i="26" s="1"/>
  <c r="E10" i="26"/>
  <c r="F10" i="26" s="1"/>
  <c r="E9" i="26"/>
  <c r="F9" i="26" s="1"/>
  <c r="C37" i="22"/>
  <c r="E37" i="22" s="1"/>
  <c r="F36" i="22"/>
  <c r="C37" i="21"/>
  <c r="E37" i="21" s="1"/>
  <c r="F37" i="21" s="1"/>
  <c r="C38" i="21"/>
  <c r="E38" i="21" s="1"/>
  <c r="F38" i="21" s="1"/>
  <c r="F36" i="21"/>
  <c r="F36" i="20"/>
  <c r="C37" i="19"/>
  <c r="F36" i="19"/>
  <c r="F36" i="17"/>
  <c r="F23" i="20"/>
  <c r="F26" i="20"/>
  <c r="F34" i="20"/>
  <c r="F24" i="20"/>
  <c r="F29" i="20"/>
  <c r="F20" i="20"/>
  <c r="F10" i="23"/>
  <c r="F32" i="23"/>
  <c r="F23" i="23"/>
  <c r="F14" i="23"/>
  <c r="F16" i="25"/>
  <c r="F25" i="25"/>
  <c r="F32" i="25"/>
  <c r="F12" i="25"/>
  <c r="F21" i="25"/>
  <c r="F30" i="25"/>
  <c r="F33" i="25"/>
  <c r="F9" i="18"/>
  <c r="F11" i="18"/>
  <c r="F20" i="18"/>
  <c r="F23" i="18"/>
  <c r="F32" i="18"/>
  <c r="F29" i="16"/>
  <c r="F20" i="16"/>
  <c r="C38" i="25" l="1"/>
  <c r="C38" i="22"/>
  <c r="E38" i="22" s="1"/>
  <c r="E37" i="23"/>
  <c r="F37" i="23" s="1"/>
  <c r="G28" i="18"/>
  <c r="H28" i="18"/>
  <c r="C38" i="19"/>
  <c r="G14" i="18"/>
  <c r="H14" i="18"/>
  <c r="C38" i="24"/>
  <c r="E38" i="24" s="1"/>
  <c r="C38" i="17"/>
  <c r="E38" i="17" s="1"/>
  <c r="F38" i="17" s="1"/>
  <c r="F36" i="24"/>
  <c r="C39" i="26"/>
  <c r="E39" i="26" s="1"/>
  <c r="F39" i="26" s="1"/>
  <c r="G20" i="18"/>
  <c r="H20" i="18"/>
  <c r="C37" i="24"/>
  <c r="F14" i="18"/>
  <c r="F36" i="26"/>
  <c r="C38" i="26"/>
  <c r="E38" i="26" s="1"/>
  <c r="E39" i="24"/>
  <c r="F39" i="24"/>
  <c r="E39" i="22"/>
  <c r="F39" i="22" s="1"/>
  <c r="E37" i="26"/>
  <c r="F37" i="26" s="1"/>
  <c r="E38" i="19"/>
  <c r="F38" i="19" s="1"/>
  <c r="E37" i="25"/>
  <c r="F37" i="25" s="1"/>
  <c r="F36" i="25"/>
  <c r="F39" i="17"/>
  <c r="C38" i="18"/>
  <c r="E38" i="25"/>
  <c r="F38" i="25" s="1"/>
  <c r="C37" i="18"/>
  <c r="C39" i="19"/>
  <c r="C38" i="23"/>
  <c r="E37" i="20"/>
  <c r="F37" i="20" s="1"/>
  <c r="E37" i="19"/>
  <c r="F37" i="19" s="1"/>
  <c r="F37" i="22"/>
  <c r="C37" i="17"/>
  <c r="F38" i="26" l="1"/>
  <c r="F38" i="22"/>
  <c r="F38" i="24"/>
  <c r="E37" i="24"/>
  <c r="F37" i="24" s="1"/>
  <c r="E38" i="23"/>
  <c r="F38" i="23" s="1"/>
  <c r="E39" i="19"/>
  <c r="F39" i="19" s="1"/>
  <c r="E37" i="17"/>
  <c r="E37" i="18"/>
  <c r="F37" i="18" s="1"/>
  <c r="E38" i="18"/>
  <c r="F38" i="18" s="1"/>
  <c r="I9" i="29" l="1"/>
  <c r="I10" i="29"/>
  <c r="I13" i="16"/>
  <c r="I28" i="17"/>
  <c r="I21" i="17"/>
  <c r="I34" i="17"/>
  <c r="I14" i="17"/>
  <c r="I20" i="17"/>
  <c r="I27" i="17"/>
  <c r="I13" i="17"/>
  <c r="I35" i="17"/>
  <c r="I28" i="16"/>
  <c r="I14" i="16"/>
  <c r="I20" i="16"/>
  <c r="I31" i="29"/>
  <c r="I17" i="29"/>
  <c r="I24" i="29"/>
  <c r="I38" i="29"/>
  <c r="I23" i="29"/>
  <c r="I37" i="29"/>
  <c r="I30" i="29"/>
  <c r="I16" i="29"/>
  <c r="I35" i="16"/>
  <c r="I27" i="16"/>
  <c r="I21" i="16"/>
  <c r="F37" i="17"/>
  <c r="I44" i="21" l="1"/>
  <c r="V3" i="28" l="1"/>
  <c r="X34" i="28"/>
  <c r="G37" i="18" s="1"/>
  <c r="X7" i="28"/>
  <c r="G12" i="18" s="1"/>
  <c r="X11" i="28"/>
  <c r="G16" i="18" s="1"/>
  <c r="X22" i="28"/>
  <c r="X12" i="28"/>
  <c r="G17" i="18" s="1"/>
  <c r="X18" i="28"/>
  <c r="G22" i="18" s="1"/>
  <c r="X38" i="28"/>
  <c r="X10" i="28"/>
  <c r="G15" i="18" s="1"/>
  <c r="X23" i="28"/>
  <c r="G26" i="18" s="1"/>
  <c r="X39" i="28"/>
  <c r="X9" i="28"/>
  <c r="X5" i="28"/>
  <c r="G11" i="18" s="1"/>
  <c r="X26" i="28"/>
  <c r="G29" i="18" s="1"/>
  <c r="W3" i="28"/>
  <c r="X32" i="28"/>
  <c r="G33" i="18"/>
  <c r="X16" i="28"/>
  <c r="G21" i="18" s="1"/>
  <c r="X28" i="28"/>
  <c r="G31" i="18" s="1"/>
  <c r="X24" i="28"/>
  <c r="G27" i="18" s="1"/>
  <c r="X15" i="28"/>
  <c r="G19" i="18" s="1"/>
  <c r="X31" i="28"/>
  <c r="X20" i="28"/>
  <c r="G24" i="18" s="1"/>
  <c r="X21" i="28"/>
  <c r="G25" i="18" s="1"/>
  <c r="X4" i="28"/>
  <c r="G10" i="18" s="1"/>
  <c r="X8" i="28"/>
  <c r="G13" i="18" s="1"/>
  <c r="X6" i="28"/>
  <c r="X36" i="28"/>
  <c r="X29" i="28"/>
  <c r="G32" i="18" s="1"/>
  <c r="X37" i="28"/>
  <c r="X25" i="28"/>
  <c r="X17" i="28"/>
  <c r="X19" i="28"/>
  <c r="G23" i="18" s="1"/>
  <c r="X27" i="28"/>
  <c r="G30" i="18" s="1"/>
  <c r="X30" i="28"/>
  <c r="X35" i="28"/>
  <c r="G38" i="18" s="1"/>
  <c r="X14" i="28"/>
  <c r="X13" i="28"/>
  <c r="G18" i="18" s="1"/>
  <c r="X33" i="28"/>
  <c r="G36" i="18" s="1"/>
  <c r="H36" i="18"/>
  <c r="H15" i="18"/>
  <c r="H29" i="18"/>
  <c r="H16" i="18"/>
  <c r="H33" i="18"/>
  <c r="H35" i="18"/>
  <c r="H30" i="18"/>
  <c r="H27" i="18"/>
  <c r="H26" i="18"/>
  <c r="H32" i="18"/>
  <c r="H19" i="18"/>
  <c r="H18" i="18"/>
  <c r="H12" i="18"/>
  <c r="H34" i="18"/>
  <c r="H24" i="18"/>
  <c r="H23" i="18"/>
  <c r="H17" i="18"/>
  <c r="H37" i="18"/>
  <c r="H25" i="18"/>
  <c r="H38" i="18"/>
  <c r="H13" i="18"/>
  <c r="H31" i="18"/>
  <c r="H22" i="18"/>
  <c r="H21" i="18"/>
  <c r="H11" i="18"/>
  <c r="H10" i="18"/>
  <c r="X3" i="28"/>
  <c r="K24" i="18" l="1"/>
  <c r="G9" i="27"/>
  <c r="H9" i="27"/>
  <c r="H25" i="27"/>
  <c r="G25" i="27"/>
  <c r="G16" i="27"/>
  <c r="J20" i="19" s="1"/>
  <c r="H16" i="27"/>
  <c r="I31" i="18"/>
  <c r="I32" i="18"/>
  <c r="I10" i="18"/>
  <c r="I11" i="18"/>
  <c r="I17" i="18"/>
  <c r="I18" i="18"/>
  <c r="J24" i="18"/>
  <c r="F22" i="27"/>
  <c r="F23" i="27"/>
  <c r="F11" i="27"/>
  <c r="F31" i="27"/>
  <c r="F18" i="27"/>
  <c r="F21" i="27"/>
  <c r="F26" i="27"/>
  <c r="F28" i="27"/>
  <c r="F30" i="27"/>
  <c r="F19" i="27"/>
  <c r="F35" i="27"/>
  <c r="F36" i="27"/>
  <c r="F8" i="27"/>
  <c r="F12" i="27"/>
  <c r="F13" i="27"/>
  <c r="F27" i="27"/>
  <c r="F10" i="27"/>
  <c r="F7" i="27"/>
  <c r="F24" i="27"/>
  <c r="F15" i="27"/>
  <c r="F34" i="27"/>
  <c r="F37" i="27"/>
  <c r="F38" i="27"/>
  <c r="F17" i="27"/>
  <c r="F20" i="27"/>
  <c r="F29" i="27"/>
  <c r="F41" i="27"/>
  <c r="F40" i="27"/>
  <c r="G34" i="18"/>
  <c r="G35" i="18"/>
  <c r="F14" i="27"/>
  <c r="F6" i="27"/>
  <c r="F5" i="27"/>
  <c r="F4" i="27"/>
  <c r="K26" i="29"/>
  <c r="K35" i="16"/>
  <c r="H11" i="24"/>
  <c r="K9" i="16"/>
  <c r="K9" i="26"/>
  <c r="H23" i="20"/>
  <c r="K14" i="23"/>
  <c r="H9" i="25"/>
  <c r="H23" i="21"/>
  <c r="H37" i="22"/>
  <c r="H29" i="20"/>
  <c r="H17" i="25"/>
  <c r="K29" i="26"/>
  <c r="H26" i="24"/>
  <c r="K18" i="16"/>
  <c r="K35" i="23"/>
  <c r="H25" i="16"/>
  <c r="H26" i="29"/>
  <c r="H29" i="29"/>
  <c r="H24" i="16"/>
  <c r="K21" i="16"/>
  <c r="H24" i="20"/>
  <c r="H23" i="23"/>
  <c r="K22" i="25"/>
  <c r="H9" i="16"/>
  <c r="H24" i="22"/>
  <c r="H17" i="17"/>
  <c r="H12" i="21"/>
  <c r="H17" i="20"/>
  <c r="H24" i="17"/>
  <c r="K13" i="29"/>
  <c r="K25" i="29"/>
  <c r="K37" i="25"/>
  <c r="H25" i="29"/>
  <c r="K39" i="29"/>
  <c r="G13" i="19"/>
  <c r="G38" i="25"/>
  <c r="G34" i="19"/>
  <c r="J36" i="24"/>
  <c r="G21" i="19"/>
  <c r="G15" i="25"/>
  <c r="G36" i="23"/>
  <c r="J19" i="16"/>
  <c r="J25" i="16"/>
  <c r="G27" i="29"/>
  <c r="G36" i="17"/>
  <c r="J11" i="29"/>
  <c r="J26" i="16"/>
  <c r="J20" i="26"/>
  <c r="J16" i="26"/>
  <c r="G24" i="17"/>
  <c r="J10" i="29"/>
  <c r="J26" i="24"/>
  <c r="J26" i="23"/>
  <c r="G29" i="17"/>
  <c r="G36" i="25"/>
  <c r="G26" i="17"/>
  <c r="G24" i="20"/>
  <c r="J12" i="26"/>
  <c r="J32" i="29"/>
  <c r="J22" i="24"/>
  <c r="J9" i="25"/>
  <c r="G30" i="20"/>
  <c r="G38" i="23"/>
  <c r="J31" i="16"/>
  <c r="G25" i="16"/>
  <c r="G11" i="24"/>
  <c r="J18" i="23"/>
  <c r="G38" i="26"/>
  <c r="G9" i="25"/>
  <c r="G37" i="20"/>
  <c r="J29" i="26"/>
  <c r="J16" i="23"/>
  <c r="G13" i="26"/>
  <c r="G19" i="19"/>
  <c r="G33" i="16"/>
  <c r="G27" i="21"/>
  <c r="J23" i="29"/>
  <c r="J21" i="29"/>
  <c r="G35" i="23"/>
  <c r="J28" i="23"/>
  <c r="G9" i="21"/>
  <c r="G33" i="17"/>
  <c r="G24" i="25"/>
  <c r="J13" i="23"/>
  <c r="J30" i="29"/>
  <c r="J31" i="23"/>
  <c r="J26" i="29"/>
  <c r="J33" i="16"/>
  <c r="G32" i="25"/>
  <c r="J37" i="24"/>
  <c r="G25" i="29"/>
  <c r="G26" i="19"/>
  <c r="G14" i="24"/>
  <c r="G12" i="24"/>
  <c r="J30" i="24"/>
  <c r="J39" i="24"/>
  <c r="G28" i="26"/>
  <c r="G32" i="20"/>
  <c r="G28" i="21"/>
  <c r="G23" i="23"/>
  <c r="J14" i="16"/>
  <c r="J27" i="24"/>
  <c r="G22" i="24"/>
  <c r="G19" i="22"/>
  <c r="J9" i="24"/>
  <c r="G12" i="25"/>
  <c r="G22" i="16"/>
  <c r="J39" i="29"/>
  <c r="J35" i="25"/>
  <c r="J23" i="16"/>
  <c r="J14" i="23"/>
  <c r="J13" i="29"/>
  <c r="G26" i="25"/>
  <c r="J13" i="24"/>
  <c r="G16" i="21"/>
  <c r="G20" i="24"/>
  <c r="J22" i="23"/>
  <c r="J36" i="26"/>
  <c r="J32" i="23"/>
  <c r="G19" i="24"/>
  <c r="G21" i="23"/>
  <c r="J15" i="24"/>
  <c r="J30" i="25"/>
  <c r="J9" i="26"/>
  <c r="J36" i="25"/>
  <c r="J37" i="23"/>
  <c r="J22" i="29"/>
  <c r="J32" i="16"/>
  <c r="G26" i="29"/>
  <c r="G15" i="16"/>
  <c r="G30" i="21"/>
  <c r="J15" i="16"/>
  <c r="J17" i="23"/>
  <c r="J24" i="25"/>
  <c r="G22" i="25"/>
  <c r="G12" i="29"/>
  <c r="G9" i="16"/>
  <c r="J27" i="25"/>
  <c r="G26" i="24"/>
  <c r="A3" i="27"/>
  <c r="J18" i="16"/>
  <c r="J21" i="23"/>
  <c r="J33" i="29"/>
  <c r="J10" i="16"/>
  <c r="G16" i="23"/>
  <c r="G11" i="16"/>
  <c r="G29" i="24"/>
  <c r="G34" i="26"/>
  <c r="G35" i="26"/>
  <c r="J18" i="29"/>
  <c r="G24" i="22"/>
  <c r="J38" i="23"/>
  <c r="J23" i="24"/>
  <c r="G21" i="24"/>
  <c r="G25" i="20"/>
  <c r="J39" i="19"/>
  <c r="G17" i="17"/>
  <c r="G24" i="23"/>
  <c r="G23" i="20"/>
  <c r="J16" i="16"/>
  <c r="G20" i="26"/>
  <c r="J36" i="23"/>
  <c r="J17" i="16"/>
  <c r="G9" i="23"/>
  <c r="G14" i="26"/>
  <c r="G36" i="24"/>
  <c r="G10" i="20"/>
  <c r="G29" i="20"/>
  <c r="J21" i="26"/>
  <c r="G30" i="25"/>
  <c r="G28" i="24"/>
  <c r="G33" i="24"/>
  <c r="G15" i="24"/>
  <c r="G12" i="19"/>
  <c r="G15" i="29"/>
  <c r="J37" i="25"/>
  <c r="G32" i="24"/>
  <c r="J31" i="25"/>
  <c r="J21" i="24"/>
  <c r="G38" i="22"/>
  <c r="G28" i="19"/>
  <c r="G30" i="22"/>
  <c r="J12" i="25"/>
  <c r="G23" i="21"/>
  <c r="G33" i="25"/>
  <c r="G39" i="24"/>
  <c r="G25" i="24"/>
  <c r="G13" i="24"/>
  <c r="G23" i="22"/>
  <c r="J38" i="29"/>
  <c r="G30" i="26"/>
  <c r="G38" i="20"/>
  <c r="J20" i="16"/>
  <c r="J15" i="23"/>
  <c r="J35" i="29"/>
  <c r="J28" i="24"/>
  <c r="J34" i="29"/>
  <c r="J24" i="24"/>
  <c r="G33" i="21"/>
  <c r="J27" i="23"/>
  <c r="G31" i="25"/>
  <c r="J33" i="25"/>
  <c r="G27" i="23"/>
  <c r="G12" i="21"/>
  <c r="G36" i="26"/>
  <c r="G18" i="20"/>
  <c r="G39" i="29"/>
  <c r="G13" i="22"/>
  <c r="J14" i="25"/>
  <c r="G14" i="23"/>
  <c r="J13" i="25"/>
  <c r="G36" i="21"/>
  <c r="J20" i="24"/>
  <c r="J11" i="25"/>
  <c r="G15" i="26"/>
  <c r="G17" i="16"/>
  <c r="J27" i="29"/>
  <c r="G19" i="21"/>
  <c r="G33" i="22"/>
  <c r="J38" i="25"/>
  <c r="J11" i="23"/>
  <c r="J11" i="26"/>
  <c r="G11" i="17"/>
  <c r="J9" i="23"/>
  <c r="G31" i="26"/>
  <c r="G26" i="21"/>
  <c r="G29" i="23"/>
  <c r="G19" i="29"/>
  <c r="G29" i="16"/>
  <c r="J11" i="24"/>
  <c r="G32" i="16"/>
  <c r="J33" i="23"/>
  <c r="J16" i="29"/>
  <c r="G16" i="22"/>
  <c r="G28" i="29"/>
  <c r="G16" i="17"/>
  <c r="J20" i="29"/>
  <c r="G31" i="19"/>
  <c r="G30" i="17"/>
  <c r="G22" i="20"/>
  <c r="G13" i="29"/>
  <c r="G18" i="29"/>
  <c r="J32" i="25"/>
  <c r="J12" i="24"/>
  <c r="J17" i="25"/>
  <c r="J18" i="26"/>
  <c r="J23" i="23"/>
  <c r="J35" i="24"/>
  <c r="G20" i="29"/>
  <c r="J39" i="22"/>
  <c r="J13" i="16"/>
  <c r="G36" i="29"/>
  <c r="J32" i="24"/>
  <c r="J34" i="23"/>
  <c r="J35" i="26"/>
  <c r="G33" i="29"/>
  <c r="J21" i="16"/>
  <c r="G18" i="22"/>
  <c r="J24" i="16"/>
  <c r="G24" i="26"/>
  <c r="G21" i="21"/>
  <c r="G29" i="21"/>
  <c r="G38" i="19"/>
  <c r="G19" i="25"/>
  <c r="G11" i="19"/>
  <c r="G11" i="29"/>
  <c r="G25" i="17"/>
  <c r="G39" i="22"/>
  <c r="G21" i="26"/>
  <c r="G23" i="17"/>
  <c r="J28" i="25"/>
  <c r="G37" i="26"/>
  <c r="J26" i="26"/>
  <c r="G27" i="24"/>
  <c r="G12" i="22"/>
  <c r="G11" i="22"/>
  <c r="G25" i="19"/>
  <c r="G13" i="23"/>
  <c r="G35" i="20"/>
  <c r="G19" i="16"/>
  <c r="G10" i="26"/>
  <c r="J22" i="26"/>
  <c r="G37" i="21"/>
  <c r="G34" i="21"/>
  <c r="G22" i="29"/>
  <c r="J35" i="23"/>
  <c r="G17" i="19"/>
  <c r="G28" i="23"/>
  <c r="G34" i="22"/>
  <c r="G27" i="19"/>
  <c r="J12" i="23"/>
  <c r="J32" i="26"/>
  <c r="G24" i="16"/>
  <c r="G39" i="19"/>
  <c r="J9" i="16"/>
  <c r="J10" i="24"/>
  <c r="G20" i="23"/>
  <c r="G10" i="16"/>
  <c r="J16" i="24"/>
  <c r="J19" i="25"/>
  <c r="G30" i="16"/>
  <c r="J25" i="29"/>
  <c r="G31" i="20"/>
  <c r="G22" i="17"/>
  <c r="G13" i="21"/>
  <c r="G11" i="25"/>
  <c r="G25" i="25"/>
  <c r="G26" i="22"/>
  <c r="G23" i="26"/>
  <c r="J24" i="23"/>
  <c r="J25" i="23"/>
  <c r="J29" i="25"/>
  <c r="J33" i="24"/>
  <c r="J22" i="16"/>
  <c r="J38" i="24"/>
  <c r="J39" i="21"/>
  <c r="J33" i="26"/>
  <c r="J15" i="29"/>
  <c r="G35" i="29"/>
  <c r="H32" i="25"/>
  <c r="H34" i="26"/>
  <c r="H19" i="19"/>
  <c r="H17" i="19"/>
  <c r="G34" i="23"/>
  <c r="G14" i="20"/>
  <c r="G18" i="24"/>
  <c r="J38" i="26"/>
  <c r="J30" i="26"/>
  <c r="G32" i="22"/>
  <c r="G16" i="20"/>
  <c r="G18" i="17"/>
  <c r="G37" i="25"/>
  <c r="J17" i="29"/>
  <c r="J37" i="26"/>
  <c r="J23" i="26"/>
  <c r="G36" i="20"/>
  <c r="J39" i="26"/>
  <c r="J10" i="26"/>
  <c r="G31" i="17"/>
  <c r="J10" i="25"/>
  <c r="G37" i="23"/>
  <c r="J13" i="26"/>
  <c r="J25" i="24"/>
  <c r="G17" i="26"/>
  <c r="G35" i="19"/>
  <c r="G29" i="26"/>
  <c r="J11" i="16"/>
  <c r="J34" i="16"/>
  <c r="J10" i="23"/>
  <c r="G20" i="19"/>
  <c r="J19" i="26"/>
  <c r="G27" i="22"/>
  <c r="G17" i="22"/>
  <c r="G9" i="20"/>
  <c r="G15" i="17"/>
  <c r="J23" i="25"/>
  <c r="J34" i="25"/>
  <c r="G22" i="21"/>
  <c r="J17" i="26"/>
  <c r="J35" i="16"/>
  <c r="G31" i="22"/>
  <c r="J20" i="25"/>
  <c r="G18" i="19"/>
  <c r="J36" i="16"/>
  <c r="H24" i="26"/>
  <c r="G21" i="20"/>
  <c r="J15" i="26"/>
  <c r="J27" i="26"/>
  <c r="G15" i="21"/>
  <c r="J28" i="26"/>
  <c r="G14" i="19"/>
  <c r="G14" i="21"/>
  <c r="J14" i="26"/>
  <c r="G34" i="24"/>
  <c r="G32" i="29"/>
  <c r="G17" i="20"/>
  <c r="G37" i="17"/>
  <c r="G12" i="16"/>
  <c r="G23" i="16"/>
  <c r="K26" i="23"/>
  <c r="H21" i="24"/>
  <c r="I21" i="24" s="1"/>
  <c r="G14" i="29"/>
  <c r="J9" i="29"/>
  <c r="J12" i="16"/>
  <c r="J21" i="25"/>
  <c r="G20" i="22"/>
  <c r="G30" i="23"/>
  <c r="J38" i="19"/>
  <c r="G34" i="29"/>
  <c r="J26" i="25"/>
  <c r="G21" i="29"/>
  <c r="J17" i="24"/>
  <c r="H24" i="25"/>
  <c r="G18" i="16"/>
  <c r="J28" i="29"/>
  <c r="G37" i="22"/>
  <c r="G10" i="19"/>
  <c r="G26" i="16"/>
  <c r="G16" i="25"/>
  <c r="H36" i="16"/>
  <c r="H11" i="17"/>
  <c r="K35" i="25"/>
  <c r="H10" i="20"/>
  <c r="K24" i="16"/>
  <c r="K13" i="23"/>
  <c r="H26" i="21"/>
  <c r="K38" i="19"/>
  <c r="K34" i="25"/>
  <c r="K35" i="24"/>
  <c r="H22" i="26"/>
  <c r="K9" i="24"/>
  <c r="J30" i="23"/>
  <c r="J15" i="25"/>
  <c r="G17" i="23"/>
  <c r="G31" i="23"/>
  <c r="J25" i="26"/>
  <c r="G10" i="23"/>
  <c r="J20" i="23"/>
  <c r="J18" i="24"/>
  <c r="J22" i="25"/>
  <c r="J31" i="26"/>
  <c r="J31" i="29"/>
  <c r="J25" i="25"/>
  <c r="H21" i="23"/>
  <c r="I21" i="23" s="1"/>
  <c r="H32" i="19"/>
  <c r="J29" i="16"/>
  <c r="G27" i="26"/>
  <c r="G32" i="19"/>
  <c r="G28" i="20"/>
  <c r="J34" i="24"/>
  <c r="J29" i="23"/>
  <c r="G20" i="21"/>
  <c r="J19" i="24"/>
  <c r="J19" i="23"/>
  <c r="G23" i="25"/>
  <c r="J29" i="29"/>
  <c r="J14" i="24"/>
  <c r="G16" i="16"/>
  <c r="G17" i="25"/>
  <c r="G12" i="17"/>
  <c r="K33" i="16"/>
  <c r="K29" i="23"/>
  <c r="H37" i="23"/>
  <c r="H33" i="22"/>
  <c r="H37" i="20"/>
  <c r="K31" i="29"/>
  <c r="J31" i="24"/>
  <c r="G10" i="22"/>
  <c r="J18" i="25"/>
  <c r="G24" i="19"/>
  <c r="G19" i="17"/>
  <c r="J29" i="24"/>
  <c r="G33" i="19"/>
  <c r="G25" i="22"/>
  <c r="G16" i="26"/>
  <c r="J30" i="16"/>
  <c r="G29" i="25"/>
  <c r="J24" i="29"/>
  <c r="J24" i="26"/>
  <c r="K13" i="24"/>
  <c r="H33" i="25"/>
  <c r="K36" i="25"/>
  <c r="K10" i="26"/>
  <c r="H15" i="21"/>
  <c r="K36" i="23"/>
  <c r="K17" i="16"/>
  <c r="H14" i="29"/>
  <c r="K26" i="16"/>
  <c r="H28" i="24"/>
  <c r="I28" i="24" s="1"/>
  <c r="H19" i="17"/>
  <c r="H25" i="20"/>
  <c r="H11" i="19"/>
  <c r="H36" i="24"/>
  <c r="I36" i="24" s="1"/>
  <c r="H17" i="16"/>
  <c r="H30" i="25"/>
  <c r="K37" i="24"/>
  <c r="H31" i="17"/>
  <c r="K11" i="29"/>
  <c r="H13" i="23"/>
  <c r="H12" i="19"/>
  <c r="K10" i="24"/>
  <c r="H30" i="21"/>
  <c r="K24" i="23"/>
  <c r="H10" i="17"/>
  <c r="K35" i="29"/>
  <c r="H15" i="26"/>
  <c r="H34" i="19"/>
  <c r="H15" i="20"/>
  <c r="I15" i="20" s="1"/>
  <c r="H32" i="16"/>
  <c r="K12" i="25"/>
  <c r="H16" i="21"/>
  <c r="K15" i="16"/>
  <c r="H27" i="23"/>
  <c r="K23" i="24"/>
  <c r="K13" i="16"/>
  <c r="H29" i="23"/>
  <c r="K33" i="24"/>
  <c r="K17" i="23"/>
  <c r="K28" i="23"/>
  <c r="K15" i="29"/>
  <c r="H33" i="24"/>
  <c r="K33" i="25"/>
  <c r="K11" i="26"/>
  <c r="H10" i="16"/>
  <c r="K32" i="23"/>
  <c r="K34" i="24"/>
  <c r="K12" i="26"/>
  <c r="H20" i="21"/>
  <c r="K27" i="23"/>
  <c r="K19" i="23"/>
  <c r="H29" i="16"/>
  <c r="H27" i="19"/>
  <c r="K17" i="26"/>
  <c r="H27" i="22"/>
  <c r="H22" i="21"/>
  <c r="H16" i="23"/>
  <c r="K27" i="29"/>
  <c r="H25" i="19"/>
  <c r="H38" i="20"/>
  <c r="H20" i="24"/>
  <c r="I20" i="24" s="1"/>
  <c r="H23" i="22"/>
  <c r="K28" i="25"/>
  <c r="H30" i="23"/>
  <c r="H35" i="29"/>
  <c r="H39" i="22"/>
  <c r="H37" i="17"/>
  <c r="H16" i="20"/>
  <c r="K38" i="23"/>
  <c r="K25" i="24"/>
  <c r="H15" i="17"/>
  <c r="H18" i="19"/>
  <c r="K37" i="29"/>
  <c r="H28" i="20"/>
  <c r="H28" i="26"/>
  <c r="H27" i="29"/>
  <c r="H33" i="21"/>
  <c r="K31" i="23"/>
  <c r="J37" i="29"/>
  <c r="G15" i="23"/>
  <c r="J28" i="16"/>
  <c r="K23" i="16"/>
  <c r="J36" i="29"/>
  <c r="G9" i="22"/>
  <c r="G9" i="26"/>
  <c r="G29" i="29"/>
  <c r="G22" i="26"/>
  <c r="J16" i="25"/>
  <c r="H14" i="24"/>
  <c r="I14" i="24" s="1"/>
  <c r="H34" i="22"/>
  <c r="K15" i="23"/>
  <c r="H36" i="25"/>
  <c r="H14" i="23"/>
  <c r="I14" i="23" s="1"/>
  <c r="H16" i="22"/>
  <c r="H16" i="17"/>
  <c r="K15" i="25"/>
  <c r="H18" i="16"/>
  <c r="H35" i="21"/>
  <c r="H36" i="17"/>
  <c r="K23" i="25"/>
  <c r="K20" i="23"/>
  <c r="H13" i="29"/>
  <c r="H18" i="22"/>
  <c r="G32" i="17"/>
  <c r="G35" i="21"/>
  <c r="G22" i="23"/>
  <c r="J12" i="29"/>
  <c r="J34" i="26"/>
  <c r="K16" i="24"/>
  <c r="K30" i="26"/>
  <c r="K20" i="29"/>
  <c r="H19" i="24"/>
  <c r="I19" i="24" s="1"/>
  <c r="K29" i="25"/>
  <c r="K11" i="25"/>
  <c r="H22" i="23"/>
  <c r="K28" i="26"/>
  <c r="H27" i="24"/>
  <c r="H34" i="24"/>
  <c r="K20" i="16"/>
  <c r="H20" i="29"/>
  <c r="H36" i="23"/>
  <c r="I36" i="23" s="1"/>
  <c r="K11" i="16"/>
  <c r="K22" i="24"/>
  <c r="H20" i="26"/>
  <c r="K10" i="23"/>
  <c r="K30" i="23"/>
  <c r="H37" i="26"/>
  <c r="H22" i="25"/>
  <c r="H18" i="24"/>
  <c r="H13" i="24"/>
  <c r="H26" i="19"/>
  <c r="H34" i="29"/>
  <c r="G10" i="25"/>
  <c r="G18" i="25"/>
  <c r="J27" i="16"/>
  <c r="G35" i="24"/>
  <c r="H10" i="22"/>
  <c r="H32" i="29"/>
  <c r="H18" i="29"/>
  <c r="K17" i="29"/>
  <c r="K33" i="26"/>
  <c r="K16" i="29"/>
  <c r="K15" i="26"/>
  <c r="K24" i="24"/>
  <c r="H25" i="17"/>
  <c r="H10" i="25"/>
  <c r="K24" i="26"/>
  <c r="H27" i="21"/>
  <c r="H29" i="24"/>
  <c r="I29" i="24" s="1"/>
  <c r="H22" i="16"/>
  <c r="H31" i="20"/>
  <c r="K30" i="16"/>
  <c r="K21" i="24"/>
  <c r="H32" i="24"/>
  <c r="I32" i="24" s="1"/>
  <c r="K31" i="24"/>
  <c r="H32" i="17"/>
  <c r="K13" i="26"/>
  <c r="K26" i="24"/>
  <c r="H21" i="19"/>
  <c r="K38" i="26"/>
  <c r="H14" i="21"/>
  <c r="H21" i="20"/>
  <c r="K37" i="26"/>
  <c r="K22" i="23"/>
  <c r="H37" i="21"/>
  <c r="H38" i="19"/>
  <c r="K33" i="29"/>
  <c r="K27" i="26"/>
  <c r="H19" i="22"/>
  <c r="K35" i="26"/>
  <c r="K14" i="16"/>
  <c r="K12" i="29"/>
  <c r="H30" i="20"/>
  <c r="K25" i="16"/>
  <c r="H12" i="17"/>
  <c r="H35" i="24"/>
  <c r="K19" i="24"/>
  <c r="H14" i="26"/>
  <c r="H14" i="20"/>
  <c r="K18" i="25"/>
  <c r="G31" i="16"/>
  <c r="J14" i="29"/>
  <c r="J19" i="29"/>
  <c r="K32" i="29"/>
  <c r="K21" i="25"/>
  <c r="K36" i="16"/>
  <c r="H32" i="22"/>
  <c r="K24" i="29"/>
  <c r="K23" i="23"/>
  <c r="K32" i="16"/>
  <c r="H23" i="25"/>
  <c r="K18" i="24"/>
  <c r="K39" i="26"/>
  <c r="H30" i="22"/>
  <c r="H15" i="23"/>
  <c r="H19" i="25"/>
  <c r="H18" i="17"/>
  <c r="K38" i="24"/>
  <c r="K36" i="29"/>
  <c r="K39" i="24"/>
  <c r="H39" i="19"/>
  <c r="H19" i="21"/>
  <c r="H11" i="22"/>
  <c r="K31" i="25"/>
  <c r="K16" i="26"/>
  <c r="K18" i="26"/>
  <c r="K21" i="26"/>
  <c r="K13" i="25"/>
  <c r="H19" i="16"/>
  <c r="K28" i="24"/>
  <c r="K29" i="16"/>
  <c r="H25" i="24"/>
  <c r="I25" i="24" s="1"/>
  <c r="H28" i="23"/>
  <c r="I28" i="23" s="1"/>
  <c r="H19" i="29"/>
  <c r="H17" i="22"/>
  <c r="H38" i="22"/>
  <c r="H36" i="21"/>
  <c r="H10" i="23"/>
  <c r="K32" i="24"/>
  <c r="H22" i="29"/>
  <c r="K14" i="26"/>
  <c r="H9" i="23"/>
  <c r="I9" i="23" s="1"/>
  <c r="H21" i="29"/>
  <c r="K12" i="24"/>
  <c r="K21" i="29"/>
  <c r="H25" i="22"/>
  <c r="K31" i="16"/>
  <c r="K23" i="26"/>
  <c r="K29" i="24"/>
  <c r="K27" i="24"/>
  <c r="K25" i="26"/>
  <c r="H9" i="26"/>
  <c r="K23" i="29"/>
  <c r="K33" i="23"/>
  <c r="H35" i="20"/>
  <c r="K15" i="24"/>
  <c r="K22" i="16"/>
  <c r="H17" i="26"/>
  <c r="K29" i="29"/>
  <c r="H30" i="17"/>
  <c r="K37" i="23"/>
  <c r="K17" i="25"/>
  <c r="H21" i="21"/>
  <c r="H31" i="16"/>
  <c r="K18" i="23"/>
  <c r="K26" i="26"/>
  <c r="K38" i="25"/>
  <c r="H29" i="21"/>
  <c r="H22" i="24"/>
  <c r="I22" i="24" s="1"/>
  <c r="H18" i="20"/>
  <c r="K11" i="24"/>
  <c r="H20" i="23"/>
  <c r="K38" i="29"/>
  <c r="H33" i="19"/>
  <c r="H13" i="21"/>
  <c r="K34" i="29"/>
  <c r="K28" i="29"/>
  <c r="K39" i="19"/>
  <c r="H36" i="26"/>
  <c r="H15" i="24"/>
  <c r="I15" i="24" s="1"/>
  <c r="H26" i="17"/>
  <c r="H15" i="16"/>
  <c r="H34" i="23"/>
  <c r="K32" i="25"/>
  <c r="H38" i="23"/>
  <c r="I38" i="23" s="1"/>
  <c r="H23" i="17"/>
  <c r="H27" i="26"/>
  <c r="H22" i="17"/>
  <c r="H39" i="29"/>
  <c r="K19" i="16"/>
  <c r="H31" i="23"/>
  <c r="I31" i="23" s="1"/>
  <c r="H31" i="22"/>
  <c r="H12" i="24"/>
  <c r="I12" i="24" s="1"/>
  <c r="H12" i="29"/>
  <c r="K26" i="25"/>
  <c r="H20" i="22"/>
  <c r="K32" i="26"/>
  <c r="H38" i="17"/>
  <c r="K17" i="24"/>
  <c r="K24" i="25"/>
  <c r="H33" i="16"/>
  <c r="H30" i="26"/>
  <c r="K25" i="25"/>
  <c r="K19" i="25"/>
  <c r="H12" i="16"/>
  <c r="K39" i="21"/>
  <c r="H37" i="25"/>
  <c r="H10" i="26"/>
  <c r="H36" i="20"/>
  <c r="H15" i="29"/>
  <c r="K28" i="16"/>
  <c r="K16" i="16"/>
  <c r="H14" i="19"/>
  <c r="H34" i="21"/>
  <c r="K22" i="26"/>
  <c r="K34" i="16"/>
  <c r="H26" i="22"/>
  <c r="H31" i="26"/>
  <c r="K9" i="25"/>
  <c r="H16" i="26"/>
  <c r="H35" i="19"/>
  <c r="H33" i="17"/>
  <c r="H16" i="25"/>
  <c r="K30" i="25"/>
  <c r="H33" i="29"/>
  <c r="K25" i="23"/>
  <c r="K11" i="23"/>
  <c r="H29" i="17"/>
  <c r="K9" i="29"/>
  <c r="H16" i="16"/>
  <c r="K9" i="23"/>
  <c r="H35" i="26"/>
  <c r="H24" i="19"/>
  <c r="K22" i="29"/>
  <c r="K21" i="23"/>
  <c r="K39" i="22"/>
  <c r="H31" i="25"/>
  <c r="H38" i="26"/>
  <c r="H11" i="29"/>
  <c r="H10" i="19"/>
  <c r="H12" i="22"/>
  <c r="H18" i="25"/>
  <c r="K14" i="25"/>
  <c r="H17" i="23"/>
  <c r="H28" i="21"/>
  <c r="H23" i="16"/>
  <c r="K31" i="26"/>
  <c r="K10" i="25"/>
  <c r="H13" i="26"/>
  <c r="H26" i="16"/>
  <c r="H11" i="16"/>
  <c r="H21" i="26"/>
  <c r="H13" i="22"/>
  <c r="H13" i="19"/>
  <c r="K36" i="24"/>
  <c r="H38" i="25"/>
  <c r="K10" i="29"/>
  <c r="K20" i="24"/>
  <c r="H30" i="16"/>
  <c r="K16" i="23"/>
  <c r="K19" i="26"/>
  <c r="H29" i="25"/>
  <c r="H39" i="24"/>
  <c r="I39" i="24" s="1"/>
  <c r="H12" i="25"/>
  <c r="H22" i="20"/>
  <c r="K12" i="23"/>
  <c r="K20" i="26"/>
  <c r="K30" i="29"/>
  <c r="H35" i="23"/>
  <c r="I35" i="23" s="1"/>
  <c r="H31" i="19"/>
  <c r="H28" i="19"/>
  <c r="K18" i="29"/>
  <c r="H32" i="20"/>
  <c r="H23" i="26"/>
  <c r="K27" i="16"/>
  <c r="K20" i="25"/>
  <c r="H24" i="23"/>
  <c r="H25" i="25"/>
  <c r="H11" i="25"/>
  <c r="K10" i="16"/>
  <c r="K34" i="26"/>
  <c r="H26" i="25"/>
  <c r="K14" i="24"/>
  <c r="G21" i="27"/>
  <c r="J25" i="22" s="1"/>
  <c r="G36" i="27"/>
  <c r="J38" i="21" s="1"/>
  <c r="G18" i="27"/>
  <c r="J22" i="19" s="1"/>
  <c r="G17" i="27"/>
  <c r="G15" i="27"/>
  <c r="G29" i="27"/>
  <c r="J32" i="22" s="1"/>
  <c r="G4" i="27"/>
  <c r="J10" i="21" s="1"/>
  <c r="G12" i="27"/>
  <c r="J17" i="22" s="1"/>
  <c r="G14" i="27"/>
  <c r="G20" i="27"/>
  <c r="J24" i="22" s="1"/>
  <c r="G23" i="27"/>
  <c r="G19" i="27"/>
  <c r="J23" i="22" s="1"/>
  <c r="G5" i="27"/>
  <c r="J10" i="19" s="1"/>
  <c r="H17" i="27"/>
  <c r="K21" i="19" s="1"/>
  <c r="H20" i="27"/>
  <c r="K24" i="22" s="1"/>
  <c r="G28" i="27"/>
  <c r="J31" i="22" s="1"/>
  <c r="G30" i="27"/>
  <c r="G26" i="27"/>
  <c r="J29" i="19" s="1"/>
  <c r="G27" i="27"/>
  <c r="J30" i="22" s="1"/>
  <c r="G6" i="27"/>
  <c r="G34" i="27"/>
  <c r="G10" i="27"/>
  <c r="G35" i="27"/>
  <c r="J37" i="19" s="1"/>
  <c r="G7" i="27"/>
  <c r="J12" i="19" s="1"/>
  <c r="H24" i="27"/>
  <c r="H21" i="27"/>
  <c r="K24" i="19" s="1"/>
  <c r="G31" i="27"/>
  <c r="G8" i="27"/>
  <c r="J13" i="19" s="1"/>
  <c r="G24" i="27"/>
  <c r="J27" i="19" s="1"/>
  <c r="G13" i="27"/>
  <c r="J17" i="19" s="1"/>
  <c r="G11" i="27"/>
  <c r="H5" i="27"/>
  <c r="K11" i="22" s="1"/>
  <c r="G22" i="27"/>
  <c r="J25" i="19" s="1"/>
  <c r="H35" i="27"/>
  <c r="K37" i="19" s="1"/>
  <c r="H41" i="27"/>
  <c r="H36" i="27"/>
  <c r="K38" i="21" s="1"/>
  <c r="H18" i="27"/>
  <c r="K22" i="19" s="1"/>
  <c r="H38" i="27"/>
  <c r="H28" i="27"/>
  <c r="K31" i="22" s="1"/>
  <c r="H34" i="27"/>
  <c r="H8" i="27"/>
  <c r="K13" i="19" s="1"/>
  <c r="H33" i="27"/>
  <c r="K35" i="19" s="1"/>
  <c r="H30" i="27"/>
  <c r="H29" i="27"/>
  <c r="K31" i="19" s="1"/>
  <c r="H40" i="27"/>
  <c r="H10" i="27"/>
  <c r="K15" i="22" s="1"/>
  <c r="H19" i="27"/>
  <c r="K23" i="22" s="1"/>
  <c r="H11" i="27"/>
  <c r="H14" i="27"/>
  <c r="K18" i="19" s="1"/>
  <c r="H12" i="27"/>
  <c r="K17" i="22" s="1"/>
  <c r="H15" i="27"/>
  <c r="K19" i="19" s="1"/>
  <c r="H22" i="27"/>
  <c r="H26" i="27"/>
  <c r="K29" i="19" s="1"/>
  <c r="H37" i="27"/>
  <c r="H7" i="27"/>
  <c r="K12" i="19" s="1"/>
  <c r="H27" i="27"/>
  <c r="K30" i="19" s="1"/>
  <c r="H6" i="27"/>
  <c r="H32" i="27"/>
  <c r="H13" i="27"/>
  <c r="K18" i="22" s="1"/>
  <c r="H39" i="27"/>
  <c r="H23" i="27"/>
  <c r="K26" i="19" s="1"/>
  <c r="H4" i="27"/>
  <c r="K10" i="21" s="1"/>
  <c r="H31" i="27"/>
  <c r="K27" i="25"/>
  <c r="H29" i="26"/>
  <c r="K36" i="26"/>
  <c r="K12" i="16"/>
  <c r="H36" i="29"/>
  <c r="K30" i="24"/>
  <c r="H28" i="29"/>
  <c r="K34" i="23"/>
  <c r="K16" i="25"/>
  <c r="H15" i="25"/>
  <c r="K14" i="29"/>
  <c r="K19" i="29"/>
  <c r="H20" i="19"/>
  <c r="I24" i="23" l="1"/>
  <c r="I13" i="24"/>
  <c r="I35" i="24"/>
  <c r="I27" i="24"/>
  <c r="I33" i="24"/>
  <c r="I29" i="23"/>
  <c r="I17" i="23"/>
  <c r="I34" i="24"/>
  <c r="I27" i="23"/>
  <c r="I18" i="24"/>
  <c r="I16" i="23"/>
  <c r="I11" i="24"/>
  <c r="I26" i="24"/>
  <c r="I10" i="23"/>
  <c r="I20" i="23"/>
  <c r="I34" i="23"/>
  <c r="I22" i="23"/>
  <c r="I23" i="23"/>
  <c r="I37" i="23"/>
  <c r="I30" i="23"/>
  <c r="I13" i="23"/>
  <c r="I15" i="23"/>
  <c r="J15" i="22"/>
  <c r="L15" i="22" s="1"/>
  <c r="J21" i="22"/>
  <c r="J33" i="22"/>
  <c r="K14" i="22"/>
  <c r="K34" i="22"/>
  <c r="K36" i="22"/>
  <c r="K20" i="22"/>
  <c r="J14" i="22"/>
  <c r="J28" i="22"/>
  <c r="K28" i="22"/>
  <c r="J26" i="22"/>
  <c r="J19" i="22"/>
  <c r="K33" i="22"/>
  <c r="K27" i="21"/>
  <c r="K14" i="21"/>
  <c r="J14" i="21"/>
  <c r="J20" i="22"/>
  <c r="K29" i="22"/>
  <c r="K25" i="22"/>
  <c r="L25" i="22" s="1"/>
  <c r="K38" i="22"/>
  <c r="J12" i="22"/>
  <c r="J29" i="22"/>
  <c r="K16" i="22"/>
  <c r="K12" i="22"/>
  <c r="K27" i="22"/>
  <c r="K35" i="22"/>
  <c r="J27" i="22"/>
  <c r="J13" i="22"/>
  <c r="J16" i="22"/>
  <c r="J18" i="22"/>
  <c r="L18" i="22" s="1"/>
  <c r="K21" i="22"/>
  <c r="K13" i="22"/>
  <c r="K32" i="22"/>
  <c r="L32" i="22" s="1"/>
  <c r="K30" i="22"/>
  <c r="L30" i="22" s="1"/>
  <c r="J11" i="22"/>
  <c r="L11" i="22" s="1"/>
  <c r="K26" i="22"/>
  <c r="J10" i="22"/>
  <c r="J22" i="22"/>
  <c r="K19" i="22"/>
  <c r="K37" i="22"/>
  <c r="K10" i="22"/>
  <c r="J37" i="22"/>
  <c r="K22" i="22"/>
  <c r="J38" i="22"/>
  <c r="K24" i="21"/>
  <c r="K21" i="21"/>
  <c r="K32" i="21"/>
  <c r="K11" i="21"/>
  <c r="J21" i="21"/>
  <c r="J31" i="21"/>
  <c r="J28" i="21"/>
  <c r="J20" i="21"/>
  <c r="J25" i="21"/>
  <c r="K16" i="21"/>
  <c r="J32" i="21"/>
  <c r="K15" i="21"/>
  <c r="J11" i="21"/>
  <c r="J15" i="21"/>
  <c r="K29" i="21"/>
  <c r="K22" i="21"/>
  <c r="J17" i="21"/>
  <c r="J27" i="21"/>
  <c r="K31" i="21"/>
  <c r="K26" i="21"/>
  <c r="J23" i="21"/>
  <c r="K13" i="21"/>
  <c r="K36" i="21"/>
  <c r="J30" i="21"/>
  <c r="J18" i="21"/>
  <c r="K19" i="21"/>
  <c r="K37" i="21"/>
  <c r="K33" i="21"/>
  <c r="J29" i="21"/>
  <c r="J22" i="21"/>
  <c r="J13" i="21"/>
  <c r="J37" i="21"/>
  <c r="J38" i="20"/>
  <c r="K38" i="20"/>
  <c r="I38" i="26"/>
  <c r="I28" i="26"/>
  <c r="K20" i="21"/>
  <c r="K17" i="21"/>
  <c r="J24" i="21"/>
  <c r="J12" i="21"/>
  <c r="K25" i="21"/>
  <c r="K12" i="21"/>
  <c r="K30" i="21"/>
  <c r="K18" i="21"/>
  <c r="K28" i="21"/>
  <c r="K34" i="21"/>
  <c r="J26" i="21"/>
  <c r="K35" i="21"/>
  <c r="K23" i="21"/>
  <c r="J16" i="21"/>
  <c r="J19" i="21"/>
  <c r="I37" i="26"/>
  <c r="I34" i="26"/>
  <c r="I35" i="26"/>
  <c r="I28" i="19"/>
  <c r="I38" i="22"/>
  <c r="I38" i="20"/>
  <c r="I24" i="25"/>
  <c r="I19" i="22"/>
  <c r="I36" i="25"/>
  <c r="I11" i="25"/>
  <c r="J11" i="19"/>
  <c r="K11" i="19"/>
  <c r="K32" i="19"/>
  <c r="J16" i="19"/>
  <c r="K27" i="19"/>
  <c r="L27" i="19" s="1"/>
  <c r="J30" i="19"/>
  <c r="L30" i="19" s="1"/>
  <c r="J24" i="19"/>
  <c r="L24" i="19" s="1"/>
  <c r="J32" i="19"/>
  <c r="K34" i="19"/>
  <c r="K33" i="19"/>
  <c r="J28" i="19"/>
  <c r="K10" i="19"/>
  <c r="L10" i="19" s="1"/>
  <c r="K16" i="19"/>
  <c r="J23" i="19"/>
  <c r="J31" i="19"/>
  <c r="L31" i="19" s="1"/>
  <c r="K28" i="19"/>
  <c r="J26" i="19"/>
  <c r="L26" i="19" s="1"/>
  <c r="J19" i="19"/>
  <c r="L19" i="19" s="1"/>
  <c r="K14" i="19"/>
  <c r="K17" i="19"/>
  <c r="L17" i="19" s="1"/>
  <c r="K23" i="19"/>
  <c r="K25" i="19"/>
  <c r="L25" i="19" s="1"/>
  <c r="K15" i="19"/>
  <c r="K36" i="19"/>
  <c r="J15" i="19"/>
  <c r="J21" i="19"/>
  <c r="L21" i="19" s="1"/>
  <c r="J14" i="19"/>
  <c r="J36" i="19"/>
  <c r="J18" i="19"/>
  <c r="L18" i="19" s="1"/>
  <c r="K20" i="19"/>
  <c r="L20" i="19" s="1"/>
  <c r="I14" i="21"/>
  <c r="I31" i="19"/>
  <c r="I31" i="25"/>
  <c r="K21" i="20"/>
  <c r="I20" i="26"/>
  <c r="K20" i="20"/>
  <c r="I29" i="26"/>
  <c r="I36" i="20"/>
  <c r="K28" i="20"/>
  <c r="I16" i="21"/>
  <c r="I32" i="25"/>
  <c r="I16" i="26"/>
  <c r="I18" i="25"/>
  <c r="I35" i="19"/>
  <c r="I10" i="26"/>
  <c r="I18" i="19"/>
  <c r="I26" i="21"/>
  <c r="I13" i="22"/>
  <c r="I19" i="21"/>
  <c r="I19" i="25"/>
  <c r="K14" i="20"/>
  <c r="I27" i="21"/>
  <c r="I26" i="19"/>
  <c r="I37" i="20"/>
  <c r="I20" i="19"/>
  <c r="I21" i="26"/>
  <c r="I10" i="19"/>
  <c r="I36" i="21"/>
  <c r="I18" i="22"/>
  <c r="J14" i="20"/>
  <c r="I22" i="25"/>
  <c r="I26" i="25"/>
  <c r="I17" i="26"/>
  <c r="K18" i="20"/>
  <c r="I25" i="22"/>
  <c r="I15" i="26"/>
  <c r="I27" i="26"/>
  <c r="I10" i="22"/>
  <c r="K26" i="20"/>
  <c r="J20" i="20"/>
  <c r="J25" i="20"/>
  <c r="I21" i="19"/>
  <c r="J23" i="20"/>
  <c r="I30" i="21"/>
  <c r="J31" i="20"/>
  <c r="J36" i="20"/>
  <c r="I38" i="25"/>
  <c r="I32" i="22"/>
  <c r="J16" i="20"/>
  <c r="K22" i="20"/>
  <c r="I13" i="21"/>
  <c r="J10" i="20"/>
  <c r="K34" i="20"/>
  <c r="I13" i="26"/>
  <c r="K15" i="20"/>
  <c r="K12" i="20"/>
  <c r="I30" i="22"/>
  <c r="I14" i="26"/>
  <c r="K37" i="20"/>
  <c r="J28" i="20"/>
  <c r="K17" i="20"/>
  <c r="J30" i="20"/>
  <c r="J18" i="20"/>
  <c r="K16" i="20"/>
  <c r="K35" i="20"/>
  <c r="K33" i="20"/>
  <c r="K24" i="20"/>
  <c r="J15" i="20"/>
  <c r="J21" i="20"/>
  <c r="J12" i="20"/>
  <c r="J29" i="20"/>
  <c r="K25" i="20"/>
  <c r="K29" i="20"/>
  <c r="K13" i="20"/>
  <c r="K31" i="20"/>
  <c r="J17" i="20"/>
  <c r="J19" i="20"/>
  <c r="K23" i="20"/>
  <c r="K27" i="20"/>
  <c r="J22" i="20"/>
  <c r="J13" i="20"/>
  <c r="J27" i="20"/>
  <c r="K36" i="20"/>
  <c r="K32" i="20"/>
  <c r="K30" i="20"/>
  <c r="K19" i="20"/>
  <c r="J26" i="20"/>
  <c r="J32" i="20"/>
  <c r="J24" i="20"/>
  <c r="J37" i="20"/>
  <c r="I15" i="25"/>
  <c r="I16" i="25"/>
  <c r="I36" i="26"/>
  <c r="I31" i="26"/>
  <c r="I9" i="26"/>
  <c r="I22" i="26"/>
  <c r="I24" i="26"/>
  <c r="I23" i="26"/>
  <c r="I12" i="22"/>
  <c r="I37" i="25"/>
  <c r="I30" i="26"/>
  <c r="I12" i="19"/>
  <c r="I25" i="25"/>
  <c r="I29" i="25"/>
  <c r="I29" i="21"/>
  <c r="I23" i="25"/>
  <c r="I33" i="21"/>
  <c r="I39" i="22"/>
  <c r="I30" i="25"/>
  <c r="I21" i="20"/>
  <c r="I31" i="20"/>
  <c r="I10" i="20"/>
  <c r="I12" i="25"/>
  <c r="I17" i="25"/>
  <c r="I33" i="25"/>
  <c r="I10" i="25"/>
  <c r="I27" i="22"/>
  <c r="I9" i="25"/>
  <c r="I16" i="22"/>
  <c r="I34" i="21"/>
  <c r="I35" i="20"/>
  <c r="I22" i="21"/>
  <c r="I11" i="19"/>
  <c r="I20" i="21"/>
  <c r="I11" i="22"/>
  <c r="I26" i="22"/>
  <c r="I17" i="22"/>
  <c r="I34" i="22"/>
  <c r="I31" i="22"/>
  <c r="I24" i="22"/>
  <c r="I34" i="19"/>
  <c r="I20" i="22"/>
  <c r="I33" i="22"/>
  <c r="I23" i="22"/>
  <c r="I37" i="22"/>
  <c r="I21" i="21"/>
  <c r="I35" i="21"/>
  <c r="I12" i="21"/>
  <c r="I28" i="21"/>
  <c r="I15" i="21"/>
  <c r="I37" i="21"/>
  <c r="I23" i="21"/>
  <c r="I32" i="20"/>
  <c r="I32" i="19"/>
  <c r="I24" i="19"/>
  <c r="I11" i="20"/>
  <c r="I30" i="20"/>
  <c r="I17" i="19"/>
  <c r="I28" i="20"/>
  <c r="I25" i="20"/>
  <c r="I18" i="20"/>
  <c r="I14" i="20"/>
  <c r="I17" i="20"/>
  <c r="I22" i="20"/>
  <c r="I16" i="20"/>
  <c r="I24" i="20"/>
  <c r="I29" i="20"/>
  <c r="I23" i="20"/>
  <c r="I19" i="19"/>
  <c r="I33" i="19"/>
  <c r="I13" i="19"/>
  <c r="I25" i="19"/>
  <c r="I27" i="19"/>
  <c r="I14" i="19"/>
  <c r="I38" i="19"/>
  <c r="I39" i="19"/>
  <c r="E3" i="27"/>
  <c r="I25" i="18"/>
  <c r="I24" i="18"/>
  <c r="K11" i="18"/>
  <c r="K16" i="17"/>
  <c r="K20" i="17"/>
  <c r="L24" i="18"/>
  <c r="F39" i="27"/>
  <c r="F33" i="27"/>
  <c r="F32" i="27"/>
  <c r="I20" i="18"/>
  <c r="I33" i="18"/>
  <c r="I38" i="18"/>
  <c r="I9" i="27"/>
  <c r="I23" i="18"/>
  <c r="I22" i="18"/>
  <c r="I27" i="18"/>
  <c r="I13" i="18"/>
  <c r="I28" i="18"/>
  <c r="I25" i="27"/>
  <c r="I36" i="18"/>
  <c r="I16" i="27"/>
  <c r="I16" i="18"/>
  <c r="I35" i="18"/>
  <c r="I34" i="18"/>
  <c r="I12" i="18"/>
  <c r="I26" i="18"/>
  <c r="I29" i="18"/>
  <c r="I21" i="18"/>
  <c r="I15" i="18"/>
  <c r="I37" i="18"/>
  <c r="I14" i="18"/>
  <c r="I30" i="18"/>
  <c r="I19" i="18"/>
  <c r="K30" i="18"/>
  <c r="K28" i="18"/>
  <c r="K27" i="18"/>
  <c r="G38" i="17"/>
  <c r="I38" i="17" s="1"/>
  <c r="K18" i="17"/>
  <c r="I31" i="27"/>
  <c r="G39" i="27"/>
  <c r="I39" i="27" s="1"/>
  <c r="G40" i="27"/>
  <c r="I40" i="27" s="1"/>
  <c r="G41" i="27"/>
  <c r="I41" i="27" s="1"/>
  <c r="I10" i="27"/>
  <c r="G36" i="16"/>
  <c r="I36" i="16" s="1"/>
  <c r="G33" i="27"/>
  <c r="G37" i="27"/>
  <c r="I37" i="27" s="1"/>
  <c r="G38" i="27"/>
  <c r="I38" i="27" s="1"/>
  <c r="G32" i="27"/>
  <c r="J34" i="22" s="1"/>
  <c r="I21" i="27"/>
  <c r="K30" i="17"/>
  <c r="K32" i="17"/>
  <c r="K35" i="17"/>
  <c r="K36" i="17"/>
  <c r="L20" i="16"/>
  <c r="J38" i="17"/>
  <c r="L18" i="23"/>
  <c r="I16" i="16"/>
  <c r="L12" i="24"/>
  <c r="L31" i="24"/>
  <c r="L22" i="23"/>
  <c r="I18" i="16"/>
  <c r="L17" i="25"/>
  <c r="L31" i="25"/>
  <c r="K36" i="18"/>
  <c r="K22" i="18"/>
  <c r="L21" i="26"/>
  <c r="L11" i="16"/>
  <c r="K13" i="18"/>
  <c r="K32" i="18"/>
  <c r="L33" i="26"/>
  <c r="K15" i="18"/>
  <c r="L10" i="16"/>
  <c r="I12" i="16"/>
  <c r="L30" i="26"/>
  <c r="J20" i="17"/>
  <c r="J20" i="18"/>
  <c r="K38" i="18"/>
  <c r="J10" i="18"/>
  <c r="J22" i="17"/>
  <c r="J22" i="18"/>
  <c r="K12" i="18"/>
  <c r="K31" i="18"/>
  <c r="J13" i="17"/>
  <c r="J13" i="18"/>
  <c r="K16" i="18"/>
  <c r="J11" i="17"/>
  <c r="J11" i="18"/>
  <c r="J26" i="17"/>
  <c r="J26" i="18"/>
  <c r="J33" i="17"/>
  <c r="J23" i="17"/>
  <c r="J23" i="18"/>
  <c r="J36" i="18"/>
  <c r="K18" i="18"/>
  <c r="J18" i="17"/>
  <c r="J18" i="18"/>
  <c r="J15" i="17"/>
  <c r="J15" i="18"/>
  <c r="J12" i="17"/>
  <c r="J12" i="18"/>
  <c r="J31" i="17"/>
  <c r="J31" i="18"/>
  <c r="J27" i="17"/>
  <c r="J27" i="18"/>
  <c r="J25" i="17"/>
  <c r="J25" i="18"/>
  <c r="L15" i="26"/>
  <c r="J29" i="17"/>
  <c r="J29" i="18"/>
  <c r="K29" i="18"/>
  <c r="K14" i="18"/>
  <c r="K20" i="18"/>
  <c r="K23" i="18"/>
  <c r="J16" i="17"/>
  <c r="J16" i="18"/>
  <c r="J30" i="17"/>
  <c r="J30" i="18"/>
  <c r="K25" i="18"/>
  <c r="J24" i="17"/>
  <c r="J32" i="17"/>
  <c r="J32" i="18"/>
  <c r="K34" i="18"/>
  <c r="J19" i="17"/>
  <c r="J19" i="18"/>
  <c r="J17" i="17"/>
  <c r="J17" i="18"/>
  <c r="J21" i="17"/>
  <c r="J21" i="18"/>
  <c r="J37" i="17"/>
  <c r="K35" i="18"/>
  <c r="K33" i="18"/>
  <c r="K37" i="18"/>
  <c r="K19" i="18"/>
  <c r="J28" i="17"/>
  <c r="J28" i="18"/>
  <c r="J14" i="17"/>
  <c r="J14" i="18"/>
  <c r="K17" i="18"/>
  <c r="J36" i="17"/>
  <c r="J37" i="18"/>
  <c r="K26" i="18"/>
  <c r="K21" i="18"/>
  <c r="L22" i="29"/>
  <c r="L9" i="23"/>
  <c r="L9" i="25"/>
  <c r="L32" i="26"/>
  <c r="I12" i="29"/>
  <c r="L28" i="29"/>
  <c r="L13" i="26"/>
  <c r="L26" i="16"/>
  <c r="L19" i="26"/>
  <c r="I36" i="29"/>
  <c r="L30" i="24"/>
  <c r="L36" i="26"/>
  <c r="L21" i="29"/>
  <c r="L39" i="22"/>
  <c r="I22" i="29"/>
  <c r="L35" i="26"/>
  <c r="L21" i="23"/>
  <c r="L33" i="16"/>
  <c r="I15" i="29"/>
  <c r="I15" i="16"/>
  <c r="L31" i="16"/>
  <c r="L32" i="29"/>
  <c r="I36" i="17"/>
  <c r="L24" i="22"/>
  <c r="L35" i="16"/>
  <c r="L39" i="21"/>
  <c r="L24" i="23"/>
  <c r="I22" i="17"/>
  <c r="I13" i="29"/>
  <c r="L38" i="23"/>
  <c r="I18" i="17"/>
  <c r="L28" i="25"/>
  <c r="I20" i="27"/>
  <c r="L39" i="19"/>
  <c r="L37" i="23"/>
  <c r="L24" i="24"/>
  <c r="L22" i="24"/>
  <c r="L11" i="29"/>
  <c r="L31" i="23"/>
  <c r="I36" i="27"/>
  <c r="L26" i="23"/>
  <c r="I11" i="29"/>
  <c r="L25" i="23"/>
  <c r="I35" i="29"/>
  <c r="L20" i="24"/>
  <c r="L25" i="26"/>
  <c r="I19" i="16"/>
  <c r="L27" i="24"/>
  <c r="L15" i="23"/>
  <c r="L9" i="16"/>
  <c r="L31" i="26"/>
  <c r="L28" i="16"/>
  <c r="L29" i="24"/>
  <c r="L14" i="23"/>
  <c r="L31" i="22"/>
  <c r="L30" i="25"/>
  <c r="L22" i="26"/>
  <c r="L9" i="29"/>
  <c r="L16" i="16"/>
  <c r="L17" i="29"/>
  <c r="I34" i="29"/>
  <c r="L9" i="24"/>
  <c r="L19" i="25"/>
  <c r="I25" i="17"/>
  <c r="I15" i="17"/>
  <c r="L15" i="16"/>
  <c r="L26" i="29"/>
  <c r="L19" i="16"/>
  <c r="L38" i="29"/>
  <c r="L32" i="23"/>
  <c r="L13" i="24"/>
  <c r="L17" i="26"/>
  <c r="L35" i="25"/>
  <c r="L9" i="26"/>
  <c r="L29" i="26"/>
  <c r="L34" i="23"/>
  <c r="L20" i="25"/>
  <c r="I11" i="16"/>
  <c r="L37" i="26"/>
  <c r="I12" i="27"/>
  <c r="I17" i="27"/>
  <c r="I35" i="27"/>
  <c r="L29" i="29"/>
  <c r="I19" i="29"/>
  <c r="L36" i="16"/>
  <c r="I5" i="27"/>
  <c r="I4" i="27"/>
  <c r="I28" i="29"/>
  <c r="L10" i="26"/>
  <c r="I18" i="27"/>
  <c r="L36" i="24"/>
  <c r="I26" i="16"/>
  <c r="L38" i="21"/>
  <c r="L37" i="24"/>
  <c r="L35" i="24"/>
  <c r="L30" i="29"/>
  <c r="L14" i="26"/>
  <c r="L24" i="26"/>
  <c r="I20" i="29"/>
  <c r="L33" i="25"/>
  <c r="L33" i="24"/>
  <c r="L17" i="16"/>
  <c r="L36" i="25"/>
  <c r="L19" i="29"/>
  <c r="I26" i="27"/>
  <c r="L20" i="26"/>
  <c r="L10" i="25"/>
  <c r="L26" i="25"/>
  <c r="L11" i="24"/>
  <c r="I30" i="17"/>
  <c r="L10" i="21"/>
  <c r="L19" i="23"/>
  <c r="L38" i="19"/>
  <c r="I12" i="17"/>
  <c r="L34" i="24"/>
  <c r="L12" i="16"/>
  <c r="L34" i="26"/>
  <c r="I23" i="16"/>
  <c r="L11" i="23"/>
  <c r="I23" i="17"/>
  <c r="L39" i="26"/>
  <c r="L26" i="24"/>
  <c r="L23" i="16"/>
  <c r="I33" i="17"/>
  <c r="L32" i="25"/>
  <c r="L23" i="29"/>
  <c r="L13" i="25"/>
  <c r="L12" i="29"/>
  <c r="L27" i="29"/>
  <c r="L38" i="25"/>
  <c r="I22" i="16"/>
  <c r="L11" i="25"/>
  <c r="I29" i="16"/>
  <c r="L12" i="26"/>
  <c r="I29" i="17"/>
  <c r="L26" i="26"/>
  <c r="L39" i="24"/>
  <c r="I25" i="16"/>
  <c r="L25" i="25"/>
  <c r="L32" i="24"/>
  <c r="L29" i="16"/>
  <c r="L16" i="26"/>
  <c r="L36" i="23"/>
  <c r="L34" i="16"/>
  <c r="I31" i="16"/>
  <c r="L22" i="16"/>
  <c r="L27" i="26"/>
  <c r="L23" i="25"/>
  <c r="I27" i="29"/>
  <c r="I19" i="17"/>
  <c r="K25" i="17"/>
  <c r="I23" i="27"/>
  <c r="I7" i="27"/>
  <c r="I14" i="27"/>
  <c r="I30" i="27"/>
  <c r="I24" i="27"/>
  <c r="L27" i="16"/>
  <c r="L23" i="23"/>
  <c r="L38" i="26"/>
  <c r="L25" i="24"/>
  <c r="L17" i="23"/>
  <c r="L16" i="24"/>
  <c r="L16" i="25"/>
  <c r="I33" i="29"/>
  <c r="I39" i="29"/>
  <c r="L38" i="24"/>
  <c r="L18" i="24"/>
  <c r="K29" i="17"/>
  <c r="L37" i="29"/>
  <c r="L23" i="24"/>
  <c r="L12" i="25"/>
  <c r="I14" i="29"/>
  <c r="L25" i="29"/>
  <c r="L14" i="29"/>
  <c r="L18" i="29"/>
  <c r="L12" i="23"/>
  <c r="L10" i="29"/>
  <c r="L14" i="25"/>
  <c r="I26" i="17"/>
  <c r="L34" i="29"/>
  <c r="L37" i="19"/>
  <c r="L25" i="16"/>
  <c r="I37" i="17"/>
  <c r="L10" i="24"/>
  <c r="I6" i="27"/>
  <c r="I28" i="27"/>
  <c r="L16" i="23"/>
  <c r="L17" i="22"/>
  <c r="L15" i="24"/>
  <c r="L33" i="29"/>
  <c r="I32" i="17"/>
  <c r="L30" i="16"/>
  <c r="L16" i="29"/>
  <c r="K11" i="17"/>
  <c r="I17" i="16"/>
  <c r="L29" i="23"/>
  <c r="L18" i="26"/>
  <c r="K34" i="17"/>
  <c r="K38" i="17"/>
  <c r="K15" i="17"/>
  <c r="H9" i="17"/>
  <c r="L32" i="16"/>
  <c r="I11" i="27"/>
  <c r="L24" i="29"/>
  <c r="L27" i="25"/>
  <c r="I13" i="27"/>
  <c r="I19" i="27"/>
  <c r="I8" i="27"/>
  <c r="L14" i="24"/>
  <c r="I30" i="16"/>
  <c r="I33" i="16"/>
  <c r="L33" i="23"/>
  <c r="L23" i="26"/>
  <c r="I21" i="29"/>
  <c r="K23" i="17"/>
  <c r="L19" i="24"/>
  <c r="L21" i="24"/>
  <c r="I18" i="29"/>
  <c r="L30" i="23"/>
  <c r="L29" i="25"/>
  <c r="L20" i="23"/>
  <c r="L15" i="29"/>
  <c r="I31" i="17"/>
  <c r="I11" i="17"/>
  <c r="L39" i="29"/>
  <c r="L13" i="29"/>
  <c r="I17" i="17"/>
  <c r="L35" i="23"/>
  <c r="K12" i="17"/>
  <c r="I22" i="27"/>
  <c r="I34" i="27"/>
  <c r="L24" i="25"/>
  <c r="K33" i="17"/>
  <c r="L28" i="24"/>
  <c r="L36" i="29"/>
  <c r="K14" i="17"/>
  <c r="K21" i="17"/>
  <c r="K26" i="17"/>
  <c r="I32" i="29"/>
  <c r="K17" i="17"/>
  <c r="L15" i="25"/>
  <c r="L29" i="19"/>
  <c r="L27" i="23"/>
  <c r="L28" i="23"/>
  <c r="I32" i="16"/>
  <c r="L35" i="29"/>
  <c r="L34" i="25"/>
  <c r="L13" i="23"/>
  <c r="I25" i="29"/>
  <c r="I24" i="17"/>
  <c r="L21" i="16"/>
  <c r="L18" i="16"/>
  <c r="I15" i="27"/>
  <c r="K22" i="17"/>
  <c r="K24" i="17"/>
  <c r="L17" i="24"/>
  <c r="L22" i="19"/>
  <c r="L18" i="25"/>
  <c r="I16" i="17"/>
  <c r="K19" i="17"/>
  <c r="I10" i="16"/>
  <c r="L13" i="16"/>
  <c r="K27" i="17"/>
  <c r="L31" i="29"/>
  <c r="L24" i="16"/>
  <c r="L37" i="25"/>
  <c r="I24" i="16"/>
  <c r="K28" i="17"/>
  <c r="I27" i="27"/>
  <c r="I29" i="27"/>
  <c r="L12" i="19"/>
  <c r="L21" i="25"/>
  <c r="L14" i="16"/>
  <c r="L10" i="23"/>
  <c r="L28" i="26"/>
  <c r="L20" i="29"/>
  <c r="L13" i="19"/>
  <c r="K37" i="17"/>
  <c r="L11" i="26"/>
  <c r="K31" i="17"/>
  <c r="I9" i="16"/>
  <c r="I29" i="29"/>
  <c r="K13" i="17"/>
  <c r="L23" i="22"/>
  <c r="L22" i="25"/>
  <c r="I26" i="29"/>
  <c r="L27" i="21" l="1"/>
  <c r="L33" i="22"/>
  <c r="L26" i="22"/>
  <c r="L14" i="22"/>
  <c r="L21" i="22"/>
  <c r="L14" i="21"/>
  <c r="L28" i="22"/>
  <c r="J35" i="22"/>
  <c r="L35" i="22" s="1"/>
  <c r="L20" i="21"/>
  <c r="L34" i="22"/>
  <c r="L20" i="22"/>
  <c r="L19" i="22"/>
  <c r="J36" i="22"/>
  <c r="L36" i="22" s="1"/>
  <c r="J36" i="21"/>
  <c r="L36" i="21" s="1"/>
  <c r="L22" i="22"/>
  <c r="L10" i="22"/>
  <c r="H9" i="22"/>
  <c r="I9" i="22" s="1"/>
  <c r="I42" i="22" s="1"/>
  <c r="L27" i="22"/>
  <c r="L12" i="22"/>
  <c r="L38" i="22"/>
  <c r="L37" i="22"/>
  <c r="L13" i="22"/>
  <c r="L29" i="22"/>
  <c r="L16" i="22"/>
  <c r="L32" i="21"/>
  <c r="L21" i="21"/>
  <c r="L31" i="21"/>
  <c r="L24" i="21"/>
  <c r="L29" i="21"/>
  <c r="L11" i="21"/>
  <c r="L15" i="21"/>
  <c r="L37" i="21"/>
  <c r="L38" i="20"/>
  <c r="L13" i="21"/>
  <c r="L25" i="21"/>
  <c r="L19" i="21"/>
  <c r="L28" i="21"/>
  <c r="L22" i="21"/>
  <c r="L16" i="21"/>
  <c r="L18" i="21"/>
  <c r="L17" i="21"/>
  <c r="J34" i="21"/>
  <c r="L34" i="21" s="1"/>
  <c r="L26" i="21"/>
  <c r="L23" i="21"/>
  <c r="L30" i="21"/>
  <c r="J35" i="21"/>
  <c r="L35" i="21" s="1"/>
  <c r="L12" i="21"/>
  <c r="H9" i="21"/>
  <c r="I9" i="21" s="1"/>
  <c r="I42" i="21" s="1"/>
  <c r="J33" i="20"/>
  <c r="L33" i="20" s="1"/>
  <c r="J33" i="21"/>
  <c r="L33" i="21" s="1"/>
  <c r="L14" i="19"/>
  <c r="L11" i="19"/>
  <c r="L15" i="19"/>
  <c r="L16" i="19"/>
  <c r="L16" i="20"/>
  <c r="L23" i="19"/>
  <c r="L32" i="19"/>
  <c r="L36" i="19"/>
  <c r="J33" i="19"/>
  <c r="L33" i="19" s="1"/>
  <c r="L28" i="19"/>
  <c r="L36" i="20"/>
  <c r="L17" i="20"/>
  <c r="L26" i="20"/>
  <c r="L21" i="20"/>
  <c r="L19" i="20"/>
  <c r="L23" i="20"/>
  <c r="L12" i="20"/>
  <c r="L37" i="20"/>
  <c r="L13" i="20"/>
  <c r="L20" i="20"/>
  <c r="L18" i="20"/>
  <c r="L28" i="20"/>
  <c r="L22" i="20"/>
  <c r="L31" i="20"/>
  <c r="L32" i="20"/>
  <c r="L27" i="20"/>
  <c r="L25" i="20"/>
  <c r="L14" i="20"/>
  <c r="L15" i="20"/>
  <c r="L30" i="20"/>
  <c r="L11" i="20"/>
  <c r="L24" i="20"/>
  <c r="L29" i="20"/>
  <c r="J34" i="19"/>
  <c r="L34" i="19" s="1"/>
  <c r="J34" i="20"/>
  <c r="L34" i="20" s="1"/>
  <c r="H39" i="17"/>
  <c r="H9" i="20"/>
  <c r="I9" i="20" s="1"/>
  <c r="I41" i="20" s="1"/>
  <c r="J35" i="19"/>
  <c r="L35" i="19" s="1"/>
  <c r="J35" i="20"/>
  <c r="L35" i="20" s="1"/>
  <c r="H9" i="18"/>
  <c r="L26" i="18"/>
  <c r="H3" i="27"/>
  <c r="K9" i="22" s="1"/>
  <c r="L20" i="18"/>
  <c r="L25" i="18"/>
  <c r="L11" i="18"/>
  <c r="L20" i="17"/>
  <c r="I33" i="27"/>
  <c r="K10" i="17"/>
  <c r="L16" i="17"/>
  <c r="J33" i="18"/>
  <c r="L33" i="18" s="1"/>
  <c r="L17" i="18"/>
  <c r="L13" i="18"/>
  <c r="L18" i="18"/>
  <c r="L31" i="18"/>
  <c r="L19" i="18"/>
  <c r="L22" i="18"/>
  <c r="L21" i="18"/>
  <c r="L23" i="18"/>
  <c r="L15" i="18"/>
  <c r="L12" i="18"/>
  <c r="L36" i="18"/>
  <c r="L16" i="18"/>
  <c r="L27" i="18"/>
  <c r="L32" i="18"/>
  <c r="L28" i="18"/>
  <c r="L14" i="18"/>
  <c r="L30" i="18"/>
  <c r="L37" i="18"/>
  <c r="L29" i="18"/>
  <c r="G39" i="17"/>
  <c r="J38" i="18"/>
  <c r="L38" i="18" s="1"/>
  <c r="J34" i="18"/>
  <c r="L34" i="18" s="1"/>
  <c r="K39" i="17"/>
  <c r="J35" i="18"/>
  <c r="L35" i="18" s="1"/>
  <c r="L18" i="17"/>
  <c r="L36" i="17"/>
  <c r="J35" i="17"/>
  <c r="L35" i="17" s="1"/>
  <c r="J34" i="17"/>
  <c r="L34" i="17" s="1"/>
  <c r="I32" i="27"/>
  <c r="L12" i="17"/>
  <c r="L38" i="17"/>
  <c r="L30" i="17"/>
  <c r="L32" i="17"/>
  <c r="G9" i="17"/>
  <c r="I9" i="17" s="1"/>
  <c r="G10" i="17"/>
  <c r="I10" i="17" s="1"/>
  <c r="L24" i="17"/>
  <c r="L17" i="17"/>
  <c r="L13" i="17"/>
  <c r="L27" i="17"/>
  <c r="L23" i="17"/>
  <c r="L15" i="17"/>
  <c r="L33" i="17"/>
  <c r="L31" i="17"/>
  <c r="L22" i="17"/>
  <c r="L21" i="17"/>
  <c r="L11" i="17"/>
  <c r="L26" i="17"/>
  <c r="L29" i="17"/>
  <c r="L19" i="17"/>
  <c r="G3" i="27"/>
  <c r="G9" i="18"/>
  <c r="K10" i="18"/>
  <c r="L10" i="18" s="1"/>
  <c r="L25" i="17"/>
  <c r="L28" i="17"/>
  <c r="L14" i="17"/>
  <c r="L37" i="17"/>
  <c r="F3" i="27"/>
  <c r="F42" i="27" s="1"/>
  <c r="I39" i="16"/>
  <c r="I40" i="16"/>
  <c r="I42" i="26"/>
  <c r="I43" i="24"/>
  <c r="I43" i="29"/>
  <c r="I43" i="26"/>
  <c r="I42" i="25"/>
  <c r="I42" i="29"/>
  <c r="I41" i="25"/>
  <c r="I42" i="23"/>
  <c r="I42" i="24"/>
  <c r="I41" i="23"/>
  <c r="K9" i="17"/>
  <c r="I42" i="19"/>
  <c r="J9" i="21" l="1"/>
  <c r="J9" i="22"/>
  <c r="L9" i="22" s="1"/>
  <c r="I43" i="22" s="1"/>
  <c r="K9" i="20"/>
  <c r="K9" i="21"/>
  <c r="I39" i="17"/>
  <c r="I42" i="17" s="1"/>
  <c r="J9" i="19"/>
  <c r="J9" i="20"/>
  <c r="K9" i="18"/>
  <c r="K9" i="19"/>
  <c r="J39" i="17"/>
  <c r="L39" i="17" s="1"/>
  <c r="I9" i="18"/>
  <c r="I41" i="18" s="1"/>
  <c r="I3" i="27"/>
  <c r="I42" i="27" s="1"/>
  <c r="J10" i="17"/>
  <c r="L10" i="17" s="1"/>
  <c r="J9" i="17"/>
  <c r="L9" i="17" s="1"/>
  <c r="J9" i="18"/>
  <c r="L9" i="21" l="1"/>
  <c r="I43" i="21" s="1"/>
  <c r="L9" i="20"/>
  <c r="I42" i="20" s="1"/>
  <c r="L9" i="19"/>
  <c r="I43" i="19" s="1"/>
  <c r="L9" i="18"/>
  <c r="I42" i="18" s="1"/>
  <c r="I43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</author>
  </authors>
  <commentList>
    <comment ref="G2" authorId="0" shapeId="0" xr:uid="{00000000-0006-0000-0100-000001000000}">
      <text>
        <r>
          <rPr>
            <sz val="12"/>
            <color indexed="81"/>
            <rFont val="Tahoma"/>
            <family val="2"/>
          </rPr>
          <t>הקלד בשעות ודקות
20:30, 22:15 וכו'</t>
        </r>
      </text>
    </comment>
    <comment ref="H2" authorId="0" shapeId="0" xr:uid="{00000000-0006-0000-0100-000002000000}">
      <text>
        <r>
          <rPr>
            <sz val="12"/>
            <color indexed="81"/>
            <rFont val="Tahoma"/>
            <family val="2"/>
          </rPr>
          <t>הקלד בשעות ודקות</t>
        </r>
        <r>
          <rPr>
            <b/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20:30, 22:15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</author>
  </authors>
  <commentList>
    <comment ref="F5" authorId="0" shapeId="0" xr:uid="{00000000-0006-0000-0300-000001000000}">
      <text>
        <r>
          <rPr>
            <sz val="12"/>
            <color indexed="81"/>
            <rFont val="Tahoma"/>
            <family val="2"/>
          </rPr>
          <t xml:space="preserve">שעות למשרה מלאה לפי "הכללית" לחודש הדו"ח
</t>
        </r>
      </text>
    </comment>
    <comment ref="G8" authorId="0" shapeId="0" xr:uid="{00000000-0006-0000-0300-000002000000}">
      <text>
        <r>
          <rPr>
            <sz val="12"/>
            <color indexed="81"/>
            <rFont val="Tahoma"/>
            <family val="2"/>
          </rPr>
          <t>הקלד בשעות ודקות
07:00, 08:15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300-000003000000}">
      <text>
        <r>
          <rPr>
            <sz val="12"/>
            <color indexed="81"/>
            <rFont val="Tahoma"/>
            <family val="2"/>
          </rPr>
          <t xml:space="preserve">הקלד בשעות ודקות 
16:30, 18:45 וכו'
</t>
        </r>
      </text>
    </comment>
    <comment ref="J8" authorId="0" shapeId="0" xr:uid="{00000000-0006-0000-0300-000004000000}">
      <text>
        <r>
          <rPr>
            <sz val="12"/>
            <color indexed="81"/>
            <rFont val="Tahoma"/>
            <family val="2"/>
          </rPr>
          <t>הקלד בשעות ודקות
20:30, 22:15 וכו'</t>
        </r>
      </text>
    </comment>
    <comment ref="K8" authorId="0" shapeId="0" xr:uid="{00000000-0006-0000-0300-000005000000}">
      <text>
        <r>
          <rPr>
            <sz val="12"/>
            <color indexed="81"/>
            <rFont val="Tahoma"/>
            <family val="2"/>
          </rPr>
          <t>הקלד בשעות ודקות</t>
        </r>
        <r>
          <rPr>
            <b/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20:30, 22:15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8" authorId="0" shapeId="0" xr:uid="{00000000-0006-0000-0300-000006000000}">
      <text>
        <r>
          <rPr>
            <sz val="12"/>
            <color indexed="81"/>
            <rFont val="Tahoma"/>
            <family val="2"/>
          </rPr>
          <t xml:space="preserve">הקלד </t>
        </r>
        <r>
          <rPr>
            <b/>
            <sz val="12"/>
            <color indexed="81"/>
            <rFont val="Tahoma"/>
            <family val="2"/>
          </rPr>
          <t>X</t>
        </r>
        <r>
          <rPr>
            <sz val="12"/>
            <color indexed="81"/>
            <rFont val="Tahoma"/>
            <family val="2"/>
          </rPr>
          <t xml:space="preserve"> ליום כוננות </t>
        </r>
      </text>
    </comment>
    <comment ref="N8" authorId="0" shapeId="0" xr:uid="{00000000-0006-0000-0300-000007000000}">
      <text>
        <r>
          <rPr>
            <sz val="12"/>
            <color indexed="81"/>
            <rFont val="Tahoma"/>
            <family val="2"/>
          </rPr>
          <t xml:space="preserve">תאר סיבת השעות החריגות,
</t>
        </r>
        <r>
          <rPr>
            <b/>
            <u/>
            <sz val="12"/>
            <color indexed="81"/>
            <rFont val="Tahoma"/>
            <family val="2"/>
          </rPr>
          <t>מחלה</t>
        </r>
        <r>
          <rPr>
            <sz val="12"/>
            <color indexed="81"/>
            <rFont val="Tahoma"/>
            <family val="2"/>
          </rPr>
          <t xml:space="preserve"> יש לדווח 9 שעות ולרשום בהערה.
</t>
        </r>
        <r>
          <rPr>
            <b/>
            <u/>
            <sz val="12"/>
            <color indexed="81"/>
            <rFont val="Tahoma"/>
            <family val="2"/>
          </rPr>
          <t>מילואים וחופש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Tahoma"/>
            <family val="2"/>
          </rPr>
          <t>אין למלא שעות ורק לרשום בהערה.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</author>
  </authors>
  <commentList>
    <comment ref="F5" authorId="0" shapeId="0" xr:uid="{00000000-0006-0000-0400-000001000000}">
      <text>
        <r>
          <rPr>
            <sz val="12"/>
            <color indexed="81"/>
            <rFont val="Tahoma"/>
            <family val="2"/>
          </rPr>
          <t xml:space="preserve">שעות למשרה מלאה לפי "הכללית" לחודש הדו"ח
</t>
        </r>
      </text>
    </comment>
    <comment ref="G8" authorId="0" shapeId="0" xr:uid="{00000000-0006-0000-0400-000002000000}">
      <text>
        <r>
          <rPr>
            <sz val="12"/>
            <color indexed="81"/>
            <rFont val="Tahoma"/>
            <family val="2"/>
          </rPr>
          <t>הקלד בשעות ודקות
07:00, 08:15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400-000003000000}">
      <text>
        <r>
          <rPr>
            <sz val="12"/>
            <color indexed="81"/>
            <rFont val="Tahoma"/>
            <family val="2"/>
          </rPr>
          <t xml:space="preserve">הקלד בשעות ודקות 
16:30, 18:45 וכו'
</t>
        </r>
      </text>
    </comment>
    <comment ref="J8" authorId="0" shapeId="0" xr:uid="{00000000-0006-0000-0400-000004000000}">
      <text>
        <r>
          <rPr>
            <sz val="12"/>
            <color indexed="81"/>
            <rFont val="Tahoma"/>
            <family val="2"/>
          </rPr>
          <t>הקלד בשעות ודקות
20:30, 22:15 וכו'</t>
        </r>
      </text>
    </comment>
    <comment ref="K8" authorId="0" shapeId="0" xr:uid="{00000000-0006-0000-0400-000005000000}">
      <text>
        <r>
          <rPr>
            <sz val="12"/>
            <color indexed="81"/>
            <rFont val="Tahoma"/>
            <family val="2"/>
          </rPr>
          <t>הקלד בשעות ודקות</t>
        </r>
        <r>
          <rPr>
            <b/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20:30, 22:15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8" authorId="0" shapeId="0" xr:uid="{00000000-0006-0000-0400-000006000000}">
      <text>
        <r>
          <rPr>
            <sz val="12"/>
            <color indexed="81"/>
            <rFont val="Tahoma"/>
            <family val="2"/>
          </rPr>
          <t xml:space="preserve">הקלד </t>
        </r>
        <r>
          <rPr>
            <b/>
            <sz val="12"/>
            <color indexed="81"/>
            <rFont val="Tahoma"/>
            <family val="2"/>
          </rPr>
          <t>X</t>
        </r>
        <r>
          <rPr>
            <sz val="12"/>
            <color indexed="81"/>
            <rFont val="Tahoma"/>
            <family val="2"/>
          </rPr>
          <t xml:space="preserve"> ליום כוננות </t>
        </r>
      </text>
    </comment>
    <comment ref="N8" authorId="0" shapeId="0" xr:uid="{00000000-0006-0000-0400-000007000000}">
      <text>
        <r>
          <rPr>
            <sz val="12"/>
            <color indexed="81"/>
            <rFont val="Tahoma"/>
            <family val="2"/>
          </rPr>
          <t xml:space="preserve">תאר סיבת השעות החריגות,
</t>
        </r>
        <r>
          <rPr>
            <b/>
            <u/>
            <sz val="12"/>
            <color indexed="81"/>
            <rFont val="Tahoma"/>
            <family val="2"/>
          </rPr>
          <t>מחלה</t>
        </r>
        <r>
          <rPr>
            <sz val="12"/>
            <color indexed="81"/>
            <rFont val="Tahoma"/>
            <family val="2"/>
          </rPr>
          <t xml:space="preserve"> יש לדווח 9 שעות ולרשום בהערה.
</t>
        </r>
        <r>
          <rPr>
            <b/>
            <u/>
            <sz val="12"/>
            <color indexed="81"/>
            <rFont val="Tahoma"/>
            <family val="2"/>
          </rPr>
          <t>מילואים וחופש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Tahoma"/>
            <family val="2"/>
          </rPr>
          <t>אין למלא שעות ורק לרשום בהערה.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</author>
  </authors>
  <commentList>
    <comment ref="F5" authorId="0" shapeId="0" xr:uid="{00000000-0006-0000-0500-000001000000}">
      <text>
        <r>
          <rPr>
            <sz val="12"/>
            <color indexed="81"/>
            <rFont val="Tahoma"/>
            <family val="2"/>
          </rPr>
          <t xml:space="preserve">שעות למשרה מלאה לפי "הכללית" לחודש הדו"ח
</t>
        </r>
      </text>
    </comment>
    <comment ref="G8" authorId="0" shapeId="0" xr:uid="{00000000-0006-0000-0500-000002000000}">
      <text>
        <r>
          <rPr>
            <sz val="12"/>
            <color indexed="81"/>
            <rFont val="Tahoma"/>
            <family val="2"/>
          </rPr>
          <t>הקלד בשעות ודקות
07:00, 08:15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500-000003000000}">
      <text>
        <r>
          <rPr>
            <sz val="12"/>
            <color indexed="81"/>
            <rFont val="Tahoma"/>
            <family val="2"/>
          </rPr>
          <t xml:space="preserve">הקלד בשעות ודקות 
16:30, 18:45 וכו'
</t>
        </r>
      </text>
    </comment>
    <comment ref="J8" authorId="0" shapeId="0" xr:uid="{00000000-0006-0000-0500-000004000000}">
      <text>
        <r>
          <rPr>
            <sz val="12"/>
            <color indexed="81"/>
            <rFont val="Tahoma"/>
            <family val="2"/>
          </rPr>
          <t>הקלד בשעות ודקות
20:30, 22:15 וכו'</t>
        </r>
      </text>
    </comment>
    <comment ref="K8" authorId="0" shapeId="0" xr:uid="{00000000-0006-0000-0500-000005000000}">
      <text>
        <r>
          <rPr>
            <sz val="12"/>
            <color indexed="81"/>
            <rFont val="Tahoma"/>
            <family val="2"/>
          </rPr>
          <t>הקלד בשעות ודקות</t>
        </r>
        <r>
          <rPr>
            <b/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20:30, 22:15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8" authorId="0" shapeId="0" xr:uid="{00000000-0006-0000-0500-000006000000}">
      <text>
        <r>
          <rPr>
            <sz val="12"/>
            <color indexed="81"/>
            <rFont val="Tahoma"/>
            <family val="2"/>
          </rPr>
          <t xml:space="preserve">הקלד </t>
        </r>
        <r>
          <rPr>
            <b/>
            <sz val="12"/>
            <color indexed="81"/>
            <rFont val="Tahoma"/>
            <family val="2"/>
          </rPr>
          <t>X</t>
        </r>
        <r>
          <rPr>
            <sz val="12"/>
            <color indexed="81"/>
            <rFont val="Tahoma"/>
            <family val="2"/>
          </rPr>
          <t xml:space="preserve"> ליום כוננות </t>
        </r>
      </text>
    </comment>
    <comment ref="N8" authorId="0" shapeId="0" xr:uid="{00000000-0006-0000-0500-000007000000}">
      <text>
        <r>
          <rPr>
            <sz val="12"/>
            <color indexed="81"/>
            <rFont val="Tahoma"/>
            <family val="2"/>
          </rPr>
          <t xml:space="preserve">תאר סיבת השעות החריגות,
</t>
        </r>
        <r>
          <rPr>
            <b/>
            <u/>
            <sz val="12"/>
            <color indexed="81"/>
            <rFont val="Tahoma"/>
            <family val="2"/>
          </rPr>
          <t>מחלה</t>
        </r>
        <r>
          <rPr>
            <sz val="12"/>
            <color indexed="81"/>
            <rFont val="Tahoma"/>
            <family val="2"/>
          </rPr>
          <t xml:space="preserve"> יש לדווח 9 שעות ולרשום בהערה.
</t>
        </r>
        <r>
          <rPr>
            <b/>
            <u/>
            <sz val="12"/>
            <color indexed="81"/>
            <rFont val="Tahoma"/>
            <family val="2"/>
          </rPr>
          <t>מילואים וחופש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Tahoma"/>
            <family val="2"/>
          </rPr>
          <t>אין למלא שעות ורק לרשום בהערה.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</author>
  </authors>
  <commentList>
    <comment ref="F5" authorId="0" shapeId="0" xr:uid="{00000000-0006-0000-0600-000001000000}">
      <text>
        <r>
          <rPr>
            <sz val="12"/>
            <color indexed="81"/>
            <rFont val="Tahoma"/>
            <family val="2"/>
          </rPr>
          <t xml:space="preserve">שעות למשרה מלאה לפי "הכללית" לחודש הדו"ח
</t>
        </r>
      </text>
    </comment>
    <comment ref="G8" authorId="0" shapeId="0" xr:uid="{00000000-0006-0000-0600-000002000000}">
      <text>
        <r>
          <rPr>
            <sz val="12"/>
            <color indexed="81"/>
            <rFont val="Tahoma"/>
            <family val="2"/>
          </rPr>
          <t>הקלד בשעות ודקות
07:00, 08:15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600-000003000000}">
      <text>
        <r>
          <rPr>
            <sz val="12"/>
            <color indexed="81"/>
            <rFont val="Tahoma"/>
            <family val="2"/>
          </rPr>
          <t xml:space="preserve">הקלד בשעות ודקות 
16:30, 18:45 וכו'
</t>
        </r>
      </text>
    </comment>
    <comment ref="J8" authorId="0" shapeId="0" xr:uid="{00000000-0006-0000-0600-000004000000}">
      <text>
        <r>
          <rPr>
            <sz val="12"/>
            <color indexed="81"/>
            <rFont val="Tahoma"/>
            <family val="2"/>
          </rPr>
          <t>הקלד בשעות ודקות
20:30, 22:15 וכו'</t>
        </r>
      </text>
    </comment>
    <comment ref="K8" authorId="0" shapeId="0" xr:uid="{00000000-0006-0000-0600-000005000000}">
      <text>
        <r>
          <rPr>
            <sz val="12"/>
            <color indexed="81"/>
            <rFont val="Tahoma"/>
            <family val="2"/>
          </rPr>
          <t>הקלד בשעות ודקות</t>
        </r>
        <r>
          <rPr>
            <b/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20:30, 22:15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8" authorId="0" shapeId="0" xr:uid="{00000000-0006-0000-0600-000006000000}">
      <text>
        <r>
          <rPr>
            <sz val="12"/>
            <color indexed="81"/>
            <rFont val="Tahoma"/>
            <family val="2"/>
          </rPr>
          <t xml:space="preserve">הקלד </t>
        </r>
        <r>
          <rPr>
            <b/>
            <sz val="12"/>
            <color indexed="81"/>
            <rFont val="Tahoma"/>
            <family val="2"/>
          </rPr>
          <t>X</t>
        </r>
        <r>
          <rPr>
            <sz val="12"/>
            <color indexed="81"/>
            <rFont val="Tahoma"/>
            <family val="2"/>
          </rPr>
          <t xml:space="preserve"> ליום כוננות </t>
        </r>
      </text>
    </comment>
    <comment ref="N8" authorId="0" shapeId="0" xr:uid="{00000000-0006-0000-0600-000007000000}">
      <text>
        <r>
          <rPr>
            <sz val="12"/>
            <color indexed="81"/>
            <rFont val="Tahoma"/>
            <family val="2"/>
          </rPr>
          <t xml:space="preserve">תאר סיבת השעות החריגות,
</t>
        </r>
        <r>
          <rPr>
            <b/>
            <u/>
            <sz val="12"/>
            <color indexed="81"/>
            <rFont val="Tahoma"/>
            <family val="2"/>
          </rPr>
          <t>מחלה</t>
        </r>
        <r>
          <rPr>
            <sz val="12"/>
            <color indexed="81"/>
            <rFont val="Tahoma"/>
            <family val="2"/>
          </rPr>
          <t xml:space="preserve"> יש לדווח 9 שעות ולרשום בהערה.
</t>
        </r>
        <r>
          <rPr>
            <b/>
            <u/>
            <sz val="12"/>
            <color indexed="81"/>
            <rFont val="Tahoma"/>
            <family val="2"/>
          </rPr>
          <t>מילואים וחופש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Tahoma"/>
            <family val="2"/>
          </rPr>
          <t>אין למלא שעות ורק לרשום בהערה.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</author>
  </authors>
  <commentList>
    <comment ref="F5" authorId="0" shapeId="0" xr:uid="{00000000-0006-0000-0700-000001000000}">
      <text>
        <r>
          <rPr>
            <sz val="12"/>
            <color indexed="81"/>
            <rFont val="Tahoma"/>
            <family val="2"/>
          </rPr>
          <t xml:space="preserve">שעות למשרה מלאה לפי "הכללית" לחודש הדו"ח
</t>
        </r>
      </text>
    </comment>
    <comment ref="G8" authorId="0" shapeId="0" xr:uid="{00000000-0006-0000-0700-000002000000}">
      <text>
        <r>
          <rPr>
            <sz val="12"/>
            <color indexed="81"/>
            <rFont val="Tahoma"/>
            <family val="2"/>
          </rPr>
          <t>הקלד בשעות ודקות
07:00, 08:15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700-000003000000}">
      <text>
        <r>
          <rPr>
            <sz val="12"/>
            <color indexed="81"/>
            <rFont val="Tahoma"/>
            <family val="2"/>
          </rPr>
          <t xml:space="preserve">הקלד בשעות ודקות 
16:30, 18:45 וכו'
</t>
        </r>
      </text>
    </comment>
    <comment ref="J8" authorId="0" shapeId="0" xr:uid="{00000000-0006-0000-0700-000004000000}">
      <text>
        <r>
          <rPr>
            <sz val="12"/>
            <color indexed="81"/>
            <rFont val="Tahoma"/>
            <family val="2"/>
          </rPr>
          <t>הקלד בשעות ודקות
20:30, 22:15 וכו'</t>
        </r>
      </text>
    </comment>
    <comment ref="K8" authorId="0" shapeId="0" xr:uid="{00000000-0006-0000-0700-000005000000}">
      <text>
        <r>
          <rPr>
            <sz val="12"/>
            <color indexed="81"/>
            <rFont val="Tahoma"/>
            <family val="2"/>
          </rPr>
          <t>הקלד בשעות ודקות</t>
        </r>
        <r>
          <rPr>
            <b/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20:30, 22:15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8" authorId="0" shapeId="0" xr:uid="{00000000-0006-0000-0700-000006000000}">
      <text>
        <r>
          <rPr>
            <sz val="12"/>
            <color indexed="81"/>
            <rFont val="Tahoma"/>
            <family val="2"/>
          </rPr>
          <t xml:space="preserve">הקלד </t>
        </r>
        <r>
          <rPr>
            <b/>
            <sz val="12"/>
            <color indexed="81"/>
            <rFont val="Tahoma"/>
            <family val="2"/>
          </rPr>
          <t>X</t>
        </r>
        <r>
          <rPr>
            <sz val="12"/>
            <color indexed="81"/>
            <rFont val="Tahoma"/>
            <family val="2"/>
          </rPr>
          <t xml:space="preserve"> ליום כוננות </t>
        </r>
      </text>
    </comment>
    <comment ref="N8" authorId="0" shapeId="0" xr:uid="{00000000-0006-0000-0700-000007000000}">
      <text>
        <r>
          <rPr>
            <sz val="12"/>
            <color indexed="81"/>
            <rFont val="Tahoma"/>
            <family val="2"/>
          </rPr>
          <t xml:space="preserve">תאר סיבת השעות החריגות,
</t>
        </r>
        <r>
          <rPr>
            <b/>
            <u/>
            <sz val="12"/>
            <color indexed="81"/>
            <rFont val="Tahoma"/>
            <family val="2"/>
          </rPr>
          <t>מחלה</t>
        </r>
        <r>
          <rPr>
            <sz val="12"/>
            <color indexed="81"/>
            <rFont val="Tahoma"/>
            <family val="2"/>
          </rPr>
          <t xml:space="preserve"> יש לדווח 9 שעות ולרשום בהערה.
</t>
        </r>
        <r>
          <rPr>
            <b/>
            <u/>
            <sz val="12"/>
            <color indexed="81"/>
            <rFont val="Tahoma"/>
            <family val="2"/>
          </rPr>
          <t>מילואים וחופש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Tahoma"/>
            <family val="2"/>
          </rPr>
          <t>אין למלא שעות ורק לרשום בהערה.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</author>
  </authors>
  <commentList>
    <comment ref="F5" authorId="0" shapeId="0" xr:uid="{00000000-0006-0000-0800-000001000000}">
      <text>
        <r>
          <rPr>
            <sz val="12"/>
            <color indexed="81"/>
            <rFont val="Tahoma"/>
            <family val="2"/>
          </rPr>
          <t xml:space="preserve">שעות למשרה מלאה לפי "הכללית" לחודש הדו"ח
</t>
        </r>
      </text>
    </comment>
    <comment ref="G8" authorId="0" shapeId="0" xr:uid="{00000000-0006-0000-0800-000002000000}">
      <text>
        <r>
          <rPr>
            <sz val="12"/>
            <color indexed="81"/>
            <rFont val="Tahoma"/>
            <family val="2"/>
          </rPr>
          <t>הקלד בשעות ודקות
07:00, 08:15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800-000003000000}">
      <text>
        <r>
          <rPr>
            <sz val="12"/>
            <color indexed="81"/>
            <rFont val="Tahoma"/>
            <family val="2"/>
          </rPr>
          <t xml:space="preserve">הקלד בשעות ודקות 
16:30, 18:45 וכו'
</t>
        </r>
      </text>
    </comment>
    <comment ref="J8" authorId="0" shapeId="0" xr:uid="{00000000-0006-0000-0800-000004000000}">
      <text>
        <r>
          <rPr>
            <sz val="12"/>
            <color indexed="81"/>
            <rFont val="Tahoma"/>
            <family val="2"/>
          </rPr>
          <t>הקלד בשעות ודקות
20:30, 22:15 וכו'</t>
        </r>
      </text>
    </comment>
    <comment ref="K8" authorId="0" shapeId="0" xr:uid="{00000000-0006-0000-0800-000005000000}">
      <text>
        <r>
          <rPr>
            <sz val="12"/>
            <color indexed="81"/>
            <rFont val="Tahoma"/>
            <family val="2"/>
          </rPr>
          <t>הקלד בשעות ודקות</t>
        </r>
        <r>
          <rPr>
            <b/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20:30, 22:15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8" authorId="0" shapeId="0" xr:uid="{00000000-0006-0000-0800-000006000000}">
      <text>
        <r>
          <rPr>
            <sz val="12"/>
            <color indexed="81"/>
            <rFont val="Tahoma"/>
            <family val="2"/>
          </rPr>
          <t xml:space="preserve">הקלד </t>
        </r>
        <r>
          <rPr>
            <b/>
            <sz val="12"/>
            <color indexed="81"/>
            <rFont val="Tahoma"/>
            <family val="2"/>
          </rPr>
          <t>X</t>
        </r>
        <r>
          <rPr>
            <sz val="12"/>
            <color indexed="81"/>
            <rFont val="Tahoma"/>
            <family val="2"/>
          </rPr>
          <t xml:space="preserve"> ליום כוננות </t>
        </r>
      </text>
    </comment>
    <comment ref="N8" authorId="0" shapeId="0" xr:uid="{00000000-0006-0000-0800-000007000000}">
      <text>
        <r>
          <rPr>
            <sz val="12"/>
            <color indexed="81"/>
            <rFont val="Tahoma"/>
            <family val="2"/>
          </rPr>
          <t xml:space="preserve">תאר סיבת השעות החריגות,
</t>
        </r>
        <r>
          <rPr>
            <b/>
            <u/>
            <sz val="12"/>
            <color indexed="81"/>
            <rFont val="Tahoma"/>
            <family val="2"/>
          </rPr>
          <t>מחלה</t>
        </r>
        <r>
          <rPr>
            <sz val="12"/>
            <color indexed="81"/>
            <rFont val="Tahoma"/>
            <family val="2"/>
          </rPr>
          <t xml:space="preserve"> יש לדווח 9 שעות ולרשום בהערה.
</t>
        </r>
        <r>
          <rPr>
            <b/>
            <u/>
            <sz val="12"/>
            <color indexed="81"/>
            <rFont val="Tahoma"/>
            <family val="2"/>
          </rPr>
          <t>מילואים וחופש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Tahoma"/>
            <family val="2"/>
          </rPr>
          <t>אין למלא שעות ורק לרשום בהערה.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</author>
  </authors>
  <commentList>
    <comment ref="F5" authorId="0" shapeId="0" xr:uid="{00000000-0006-0000-0900-000001000000}">
      <text>
        <r>
          <rPr>
            <sz val="12"/>
            <color indexed="81"/>
            <rFont val="Tahoma"/>
            <family val="2"/>
          </rPr>
          <t xml:space="preserve">שעות למשרה מלאה לפי "הכללית" לחודש הדו"ח
</t>
        </r>
      </text>
    </comment>
    <comment ref="G8" authorId="0" shapeId="0" xr:uid="{00000000-0006-0000-0900-000002000000}">
      <text>
        <r>
          <rPr>
            <sz val="12"/>
            <color indexed="81"/>
            <rFont val="Tahoma"/>
            <family val="2"/>
          </rPr>
          <t>הקלד בשעות ודקות
07:00, 08:15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900-000003000000}">
      <text>
        <r>
          <rPr>
            <sz val="12"/>
            <color indexed="81"/>
            <rFont val="Tahoma"/>
            <family val="2"/>
          </rPr>
          <t xml:space="preserve">הקלד בשעות ודקות 
16:30, 18:45 וכו'
</t>
        </r>
      </text>
    </comment>
    <comment ref="J8" authorId="0" shapeId="0" xr:uid="{00000000-0006-0000-0900-000004000000}">
      <text>
        <r>
          <rPr>
            <sz val="12"/>
            <color indexed="81"/>
            <rFont val="Tahoma"/>
            <family val="2"/>
          </rPr>
          <t>הקלד בשעות ודקות
20:30, 22:15 וכו'</t>
        </r>
      </text>
    </comment>
    <comment ref="K8" authorId="0" shapeId="0" xr:uid="{00000000-0006-0000-0900-000005000000}">
      <text>
        <r>
          <rPr>
            <sz val="12"/>
            <color indexed="81"/>
            <rFont val="Tahoma"/>
            <family val="2"/>
          </rPr>
          <t>הקלד בשעות ודקות</t>
        </r>
        <r>
          <rPr>
            <b/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20:30, 22:15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8" authorId="0" shapeId="0" xr:uid="{00000000-0006-0000-0900-000006000000}">
      <text>
        <r>
          <rPr>
            <sz val="12"/>
            <color indexed="81"/>
            <rFont val="Tahoma"/>
            <family val="2"/>
          </rPr>
          <t xml:space="preserve">הקלד </t>
        </r>
        <r>
          <rPr>
            <b/>
            <sz val="12"/>
            <color indexed="81"/>
            <rFont val="Tahoma"/>
            <family val="2"/>
          </rPr>
          <t>X</t>
        </r>
        <r>
          <rPr>
            <sz val="12"/>
            <color indexed="81"/>
            <rFont val="Tahoma"/>
            <family val="2"/>
          </rPr>
          <t xml:space="preserve"> ליום כוננות </t>
        </r>
      </text>
    </comment>
    <comment ref="N8" authorId="0" shapeId="0" xr:uid="{00000000-0006-0000-0900-000007000000}">
      <text>
        <r>
          <rPr>
            <sz val="12"/>
            <color indexed="81"/>
            <rFont val="Tahoma"/>
            <family val="2"/>
          </rPr>
          <t xml:space="preserve">תאר סיבת השעות החריגות,
</t>
        </r>
        <r>
          <rPr>
            <b/>
            <u/>
            <sz val="12"/>
            <color indexed="81"/>
            <rFont val="Tahoma"/>
            <family val="2"/>
          </rPr>
          <t>מחלה</t>
        </r>
        <r>
          <rPr>
            <sz val="12"/>
            <color indexed="81"/>
            <rFont val="Tahoma"/>
            <family val="2"/>
          </rPr>
          <t xml:space="preserve"> יש לדווח 9 שעות ולרשום בהערה.
</t>
        </r>
        <r>
          <rPr>
            <b/>
            <u/>
            <sz val="12"/>
            <color indexed="81"/>
            <rFont val="Tahoma"/>
            <family val="2"/>
          </rPr>
          <t>מילואים וחופש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Tahoma"/>
            <family val="2"/>
          </rPr>
          <t>אין למלא שעות ורק לרשום בהערה.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</author>
  </authors>
  <commentList>
    <comment ref="F5" authorId="0" shapeId="0" xr:uid="{00000000-0006-0000-0A00-000001000000}">
      <text>
        <r>
          <rPr>
            <sz val="12"/>
            <color indexed="81"/>
            <rFont val="Tahoma"/>
            <family val="2"/>
          </rPr>
          <t xml:space="preserve">שעות למשרה מלאה לפי "הכללית" לחודש הדו"ח
</t>
        </r>
      </text>
    </comment>
    <comment ref="G8" authorId="0" shapeId="0" xr:uid="{00000000-0006-0000-0A00-000002000000}">
      <text>
        <r>
          <rPr>
            <sz val="12"/>
            <color indexed="81"/>
            <rFont val="Tahoma"/>
            <family val="2"/>
          </rPr>
          <t>הקלד בשעות ודקות
07:00, 08:15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A00-000003000000}">
      <text>
        <r>
          <rPr>
            <sz val="12"/>
            <color indexed="81"/>
            <rFont val="Tahoma"/>
            <family val="2"/>
          </rPr>
          <t xml:space="preserve">הקלד בשעות ודקות 
16:30, 18:45 וכו'
</t>
        </r>
      </text>
    </comment>
    <comment ref="J8" authorId="0" shapeId="0" xr:uid="{00000000-0006-0000-0A00-000004000000}">
      <text>
        <r>
          <rPr>
            <sz val="12"/>
            <color indexed="81"/>
            <rFont val="Tahoma"/>
            <family val="2"/>
          </rPr>
          <t>הקלד בשעות ודקות
20:30, 22:15 וכו'</t>
        </r>
      </text>
    </comment>
    <comment ref="K8" authorId="0" shapeId="0" xr:uid="{00000000-0006-0000-0A00-000005000000}">
      <text>
        <r>
          <rPr>
            <sz val="12"/>
            <color indexed="81"/>
            <rFont val="Tahoma"/>
            <family val="2"/>
          </rPr>
          <t>הקלד בשעות ודקות</t>
        </r>
        <r>
          <rPr>
            <b/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20:30, 22:15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8" authorId="0" shapeId="0" xr:uid="{00000000-0006-0000-0A00-000006000000}">
      <text>
        <r>
          <rPr>
            <sz val="12"/>
            <color indexed="81"/>
            <rFont val="Tahoma"/>
            <family val="2"/>
          </rPr>
          <t xml:space="preserve">הקלד </t>
        </r>
        <r>
          <rPr>
            <b/>
            <sz val="12"/>
            <color indexed="81"/>
            <rFont val="Tahoma"/>
            <family val="2"/>
          </rPr>
          <t>X</t>
        </r>
        <r>
          <rPr>
            <sz val="12"/>
            <color indexed="81"/>
            <rFont val="Tahoma"/>
            <family val="2"/>
          </rPr>
          <t xml:space="preserve"> ליום כוננות </t>
        </r>
      </text>
    </comment>
    <comment ref="N8" authorId="0" shapeId="0" xr:uid="{00000000-0006-0000-0A00-000007000000}">
      <text>
        <r>
          <rPr>
            <sz val="12"/>
            <color indexed="81"/>
            <rFont val="Tahoma"/>
            <family val="2"/>
          </rPr>
          <t xml:space="preserve">תאר סיבת השעות החריגות,
</t>
        </r>
        <r>
          <rPr>
            <b/>
            <u/>
            <sz val="12"/>
            <color indexed="81"/>
            <rFont val="Tahoma"/>
            <family val="2"/>
          </rPr>
          <t>מחלה</t>
        </r>
        <r>
          <rPr>
            <sz val="12"/>
            <color indexed="81"/>
            <rFont val="Tahoma"/>
            <family val="2"/>
          </rPr>
          <t xml:space="preserve"> יש לדווח 9 שעות ולרשום בהערה.
</t>
        </r>
        <r>
          <rPr>
            <b/>
            <u/>
            <sz val="12"/>
            <color indexed="81"/>
            <rFont val="Tahoma"/>
            <family val="2"/>
          </rPr>
          <t>מילואים וחופש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Tahoma"/>
            <family val="2"/>
          </rPr>
          <t>אין למלא שעות ורק לרשום בהערה.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</author>
  </authors>
  <commentList>
    <comment ref="F5" authorId="0" shapeId="0" xr:uid="{00000000-0006-0000-0B00-000001000000}">
      <text>
        <r>
          <rPr>
            <sz val="12"/>
            <color indexed="81"/>
            <rFont val="Tahoma"/>
            <family val="2"/>
          </rPr>
          <t xml:space="preserve">שעות למשרה מלאה לפי "הכללית" לחודש הדו"ח
</t>
        </r>
      </text>
    </comment>
    <comment ref="G8" authorId="0" shapeId="0" xr:uid="{00000000-0006-0000-0B00-000002000000}">
      <text>
        <r>
          <rPr>
            <sz val="12"/>
            <color indexed="81"/>
            <rFont val="Tahoma"/>
            <family val="2"/>
          </rPr>
          <t>הקלד בשעות ודקות
07:00, 08:15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B00-000003000000}">
      <text>
        <r>
          <rPr>
            <sz val="12"/>
            <color indexed="81"/>
            <rFont val="Tahoma"/>
            <family val="2"/>
          </rPr>
          <t xml:space="preserve">הקלד בשעות ודקות 
16:30, 18:45 וכו'
</t>
        </r>
      </text>
    </comment>
    <comment ref="J8" authorId="0" shapeId="0" xr:uid="{00000000-0006-0000-0B00-000004000000}">
      <text>
        <r>
          <rPr>
            <sz val="12"/>
            <color indexed="81"/>
            <rFont val="Tahoma"/>
            <family val="2"/>
          </rPr>
          <t>הקלד בשעות ודקות
20:30, 22:15 וכו'</t>
        </r>
      </text>
    </comment>
    <comment ref="K8" authorId="0" shapeId="0" xr:uid="{00000000-0006-0000-0B00-000005000000}">
      <text>
        <r>
          <rPr>
            <sz val="12"/>
            <color indexed="81"/>
            <rFont val="Tahoma"/>
            <family val="2"/>
          </rPr>
          <t>הקלד בשעות ודקות</t>
        </r>
        <r>
          <rPr>
            <b/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20:30, 22:15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8" authorId="0" shapeId="0" xr:uid="{00000000-0006-0000-0B00-000006000000}">
      <text>
        <r>
          <rPr>
            <sz val="12"/>
            <color indexed="81"/>
            <rFont val="Tahoma"/>
            <family val="2"/>
          </rPr>
          <t xml:space="preserve">הקלד </t>
        </r>
        <r>
          <rPr>
            <b/>
            <sz val="12"/>
            <color indexed="81"/>
            <rFont val="Tahoma"/>
            <family val="2"/>
          </rPr>
          <t>X</t>
        </r>
        <r>
          <rPr>
            <sz val="12"/>
            <color indexed="81"/>
            <rFont val="Tahoma"/>
            <family val="2"/>
          </rPr>
          <t xml:space="preserve"> ליום כוננות </t>
        </r>
      </text>
    </comment>
    <comment ref="N8" authorId="0" shapeId="0" xr:uid="{00000000-0006-0000-0B00-000007000000}">
      <text>
        <r>
          <rPr>
            <sz val="12"/>
            <color indexed="81"/>
            <rFont val="Tahoma"/>
            <family val="2"/>
          </rPr>
          <t xml:space="preserve">תאר סיבת השעות החריגות,
</t>
        </r>
        <r>
          <rPr>
            <b/>
            <u/>
            <sz val="12"/>
            <color indexed="81"/>
            <rFont val="Tahoma"/>
            <family val="2"/>
          </rPr>
          <t>מחלה</t>
        </r>
        <r>
          <rPr>
            <sz val="12"/>
            <color indexed="81"/>
            <rFont val="Tahoma"/>
            <family val="2"/>
          </rPr>
          <t xml:space="preserve"> יש לדווח 9 שעות ולרשום בהערה.
</t>
        </r>
        <r>
          <rPr>
            <b/>
            <u/>
            <sz val="12"/>
            <color indexed="81"/>
            <rFont val="Tahoma"/>
            <family val="2"/>
          </rPr>
          <t>מילואים וחופש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Tahoma"/>
            <family val="2"/>
          </rPr>
          <t>אין למלא שעות ורק לרשום בהערה.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</author>
  </authors>
  <commentList>
    <comment ref="F5" authorId="0" shapeId="0" xr:uid="{00000000-0006-0000-0C00-000001000000}">
      <text>
        <r>
          <rPr>
            <sz val="12"/>
            <color indexed="81"/>
            <rFont val="Tahoma"/>
            <family val="2"/>
          </rPr>
          <t xml:space="preserve">שעות למשרה מלאה לפי "הכללית" לחודש הדו"ח
</t>
        </r>
      </text>
    </comment>
    <comment ref="G8" authorId="0" shapeId="0" xr:uid="{00000000-0006-0000-0C00-000002000000}">
      <text>
        <r>
          <rPr>
            <sz val="12"/>
            <color indexed="81"/>
            <rFont val="Tahoma"/>
            <family val="2"/>
          </rPr>
          <t>הקלד בשעות ודקות
07:00, 08:15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C00-000003000000}">
      <text>
        <r>
          <rPr>
            <sz val="12"/>
            <color indexed="81"/>
            <rFont val="Tahoma"/>
            <family val="2"/>
          </rPr>
          <t xml:space="preserve">הקלד בשעות ודקות 
16:30, 18:45 וכו'
</t>
        </r>
      </text>
    </comment>
    <comment ref="J8" authorId="0" shapeId="0" xr:uid="{00000000-0006-0000-0C00-000004000000}">
      <text>
        <r>
          <rPr>
            <sz val="12"/>
            <color indexed="81"/>
            <rFont val="Tahoma"/>
            <family val="2"/>
          </rPr>
          <t>הקלד בשעות ודקות
20:30, 22:15 וכו'</t>
        </r>
      </text>
    </comment>
    <comment ref="K8" authorId="0" shapeId="0" xr:uid="{00000000-0006-0000-0C00-000005000000}">
      <text>
        <r>
          <rPr>
            <sz val="12"/>
            <color indexed="81"/>
            <rFont val="Tahoma"/>
            <family val="2"/>
          </rPr>
          <t>הקלד בשעות ודקות</t>
        </r>
        <r>
          <rPr>
            <b/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20:30, 22:15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8" authorId="0" shapeId="0" xr:uid="{00000000-0006-0000-0C00-000006000000}">
      <text>
        <r>
          <rPr>
            <sz val="12"/>
            <color indexed="81"/>
            <rFont val="Tahoma"/>
            <family val="2"/>
          </rPr>
          <t xml:space="preserve">הקלד </t>
        </r>
        <r>
          <rPr>
            <b/>
            <sz val="12"/>
            <color indexed="81"/>
            <rFont val="Tahoma"/>
            <family val="2"/>
          </rPr>
          <t>X</t>
        </r>
        <r>
          <rPr>
            <sz val="12"/>
            <color indexed="81"/>
            <rFont val="Tahoma"/>
            <family val="2"/>
          </rPr>
          <t xml:space="preserve"> ליום כוננות </t>
        </r>
      </text>
    </comment>
    <comment ref="N8" authorId="0" shapeId="0" xr:uid="{00000000-0006-0000-0C00-000007000000}">
      <text>
        <r>
          <rPr>
            <sz val="12"/>
            <color indexed="81"/>
            <rFont val="Tahoma"/>
            <family val="2"/>
          </rPr>
          <t xml:space="preserve">תאר סיבת השעות החריגות,
</t>
        </r>
        <r>
          <rPr>
            <b/>
            <u/>
            <sz val="12"/>
            <color indexed="81"/>
            <rFont val="Tahoma"/>
            <family val="2"/>
          </rPr>
          <t>מחלה</t>
        </r>
        <r>
          <rPr>
            <sz val="12"/>
            <color indexed="81"/>
            <rFont val="Tahoma"/>
            <family val="2"/>
          </rPr>
          <t xml:space="preserve"> יש לדווח 9 שעות ולרשום בהערה.
</t>
        </r>
        <r>
          <rPr>
            <b/>
            <u/>
            <sz val="12"/>
            <color indexed="81"/>
            <rFont val="Tahoma"/>
            <family val="2"/>
          </rPr>
          <t>מילואים וחופש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Tahoma"/>
            <family val="2"/>
          </rPr>
          <t>אין למלא שעות ורק לרשום בהערה.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</author>
  </authors>
  <commentList>
    <comment ref="F5" authorId="0" shapeId="0" xr:uid="{00000000-0006-0000-0D00-000001000000}">
      <text>
        <r>
          <rPr>
            <sz val="12"/>
            <color indexed="81"/>
            <rFont val="Tahoma"/>
            <family val="2"/>
          </rPr>
          <t xml:space="preserve">שעות למשרה מלאה לפי "הכללית" לחודש הדו"ח
</t>
        </r>
      </text>
    </comment>
    <comment ref="G8" authorId="0" shapeId="0" xr:uid="{00000000-0006-0000-0D00-000002000000}">
      <text>
        <r>
          <rPr>
            <sz val="12"/>
            <color indexed="81"/>
            <rFont val="Tahoma"/>
            <family val="2"/>
          </rPr>
          <t>הקלד בשעות ודקות
07:00, 08:15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D00-000003000000}">
      <text>
        <r>
          <rPr>
            <sz val="12"/>
            <color indexed="81"/>
            <rFont val="Tahoma"/>
            <family val="2"/>
          </rPr>
          <t xml:space="preserve">הקלד בשעות ודקות 
16:30, 18:45 וכו'
</t>
        </r>
      </text>
    </comment>
    <comment ref="J8" authorId="0" shapeId="0" xr:uid="{00000000-0006-0000-0D00-000004000000}">
      <text>
        <r>
          <rPr>
            <sz val="12"/>
            <color indexed="81"/>
            <rFont val="Tahoma"/>
            <family val="2"/>
          </rPr>
          <t>הקלד בשעות ודקות
20:30, 22:15 וכו'</t>
        </r>
      </text>
    </comment>
    <comment ref="K8" authorId="0" shapeId="0" xr:uid="{00000000-0006-0000-0D00-000005000000}">
      <text>
        <r>
          <rPr>
            <sz val="12"/>
            <color indexed="81"/>
            <rFont val="Tahoma"/>
            <family val="2"/>
          </rPr>
          <t>הקלד בשעות ודקות</t>
        </r>
        <r>
          <rPr>
            <b/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20:30, 22:15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8" authorId="0" shapeId="0" xr:uid="{00000000-0006-0000-0D00-000006000000}">
      <text>
        <r>
          <rPr>
            <sz val="12"/>
            <color indexed="81"/>
            <rFont val="Tahoma"/>
            <family val="2"/>
          </rPr>
          <t xml:space="preserve">הקלד </t>
        </r>
        <r>
          <rPr>
            <b/>
            <sz val="12"/>
            <color indexed="81"/>
            <rFont val="Tahoma"/>
            <family val="2"/>
          </rPr>
          <t>X</t>
        </r>
        <r>
          <rPr>
            <sz val="12"/>
            <color indexed="81"/>
            <rFont val="Tahoma"/>
            <family val="2"/>
          </rPr>
          <t xml:space="preserve"> ליום כוננות </t>
        </r>
      </text>
    </comment>
    <comment ref="N8" authorId="0" shapeId="0" xr:uid="{00000000-0006-0000-0D00-000007000000}">
      <text>
        <r>
          <rPr>
            <sz val="12"/>
            <color indexed="81"/>
            <rFont val="Tahoma"/>
            <family val="2"/>
          </rPr>
          <t xml:space="preserve">תאר סיבת השעות החריגות,
</t>
        </r>
        <r>
          <rPr>
            <b/>
            <u/>
            <sz val="12"/>
            <color indexed="81"/>
            <rFont val="Tahoma"/>
            <family val="2"/>
          </rPr>
          <t>מחלה</t>
        </r>
        <r>
          <rPr>
            <sz val="12"/>
            <color indexed="81"/>
            <rFont val="Tahoma"/>
            <family val="2"/>
          </rPr>
          <t xml:space="preserve"> יש לדווח 9 שעות ולרשום בהערה.
</t>
        </r>
        <r>
          <rPr>
            <b/>
            <u/>
            <sz val="12"/>
            <color indexed="81"/>
            <rFont val="Tahoma"/>
            <family val="2"/>
          </rPr>
          <t>מילואים וחופש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Tahoma"/>
            <family val="2"/>
          </rPr>
          <t>אין למלא שעות ורק לרשום בהערה.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</author>
  </authors>
  <commentList>
    <comment ref="F5" authorId="0" shapeId="0" xr:uid="{00000000-0006-0000-0E00-000001000000}">
      <text>
        <r>
          <rPr>
            <sz val="12"/>
            <color indexed="81"/>
            <rFont val="Tahoma"/>
            <family val="2"/>
          </rPr>
          <t xml:space="preserve">שעות למשרה מלאה לפי "הכללית" לחודש הדו"ח
</t>
        </r>
      </text>
    </comment>
    <comment ref="G8" authorId="0" shapeId="0" xr:uid="{00000000-0006-0000-0E00-000002000000}">
      <text>
        <r>
          <rPr>
            <sz val="12"/>
            <color indexed="81"/>
            <rFont val="Tahoma"/>
            <family val="2"/>
          </rPr>
          <t>הקלד בשעות ודקות
07:00, 08:15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E00-000003000000}">
      <text>
        <r>
          <rPr>
            <sz val="12"/>
            <color indexed="81"/>
            <rFont val="Tahoma"/>
            <family val="2"/>
          </rPr>
          <t xml:space="preserve">הקלד בשעות ודקות 
16:30, 18:45 וכו'
</t>
        </r>
      </text>
    </comment>
    <comment ref="J8" authorId="0" shapeId="0" xr:uid="{00000000-0006-0000-0E00-000004000000}">
      <text>
        <r>
          <rPr>
            <sz val="12"/>
            <color indexed="81"/>
            <rFont val="Tahoma"/>
            <family val="2"/>
          </rPr>
          <t>הקלד בשעות ודקות
20:30, 22:15 וכו'</t>
        </r>
      </text>
    </comment>
    <comment ref="K8" authorId="0" shapeId="0" xr:uid="{00000000-0006-0000-0E00-000005000000}">
      <text>
        <r>
          <rPr>
            <sz val="12"/>
            <color indexed="81"/>
            <rFont val="Tahoma"/>
            <family val="2"/>
          </rPr>
          <t>הקלד בשעות ודקות</t>
        </r>
        <r>
          <rPr>
            <b/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20:30, 22:15 וכו'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8" authorId="0" shapeId="0" xr:uid="{00000000-0006-0000-0E00-000006000000}">
      <text>
        <r>
          <rPr>
            <sz val="12"/>
            <color indexed="81"/>
            <rFont val="Tahoma"/>
            <family val="2"/>
          </rPr>
          <t xml:space="preserve">הקלד </t>
        </r>
        <r>
          <rPr>
            <b/>
            <sz val="12"/>
            <color indexed="81"/>
            <rFont val="Tahoma"/>
            <family val="2"/>
          </rPr>
          <t>X</t>
        </r>
        <r>
          <rPr>
            <sz val="12"/>
            <color indexed="81"/>
            <rFont val="Tahoma"/>
            <family val="2"/>
          </rPr>
          <t xml:space="preserve"> ליום כוננות </t>
        </r>
      </text>
    </comment>
    <comment ref="N8" authorId="0" shapeId="0" xr:uid="{00000000-0006-0000-0E00-000007000000}">
      <text>
        <r>
          <rPr>
            <sz val="12"/>
            <color indexed="81"/>
            <rFont val="Tahoma"/>
            <family val="2"/>
          </rPr>
          <t xml:space="preserve">תאר סיבת השעות החריגות,
</t>
        </r>
        <r>
          <rPr>
            <b/>
            <u/>
            <sz val="12"/>
            <color indexed="81"/>
            <rFont val="Tahoma"/>
            <family val="2"/>
          </rPr>
          <t>מחלה</t>
        </r>
        <r>
          <rPr>
            <sz val="12"/>
            <color indexed="81"/>
            <rFont val="Tahoma"/>
            <family val="2"/>
          </rPr>
          <t xml:space="preserve"> יש לדווח 9 שעות ולרשום בהערה.
</t>
        </r>
        <r>
          <rPr>
            <b/>
            <u/>
            <sz val="12"/>
            <color indexed="81"/>
            <rFont val="Tahoma"/>
            <family val="2"/>
          </rPr>
          <t>מילואים וחופש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Tahoma"/>
            <family val="2"/>
          </rPr>
          <t>אין למלא שעות ורק לרשום בהערה.</t>
        </r>
      </text>
    </comment>
  </commentList>
</comments>
</file>

<file path=xl/sharedStrings.xml><?xml version="1.0" encoding="utf-8"?>
<sst xmlns="http://schemas.openxmlformats.org/spreadsheetml/2006/main" count="797" uniqueCount="114">
  <si>
    <t>שנה</t>
  </si>
  <si>
    <t>שם עובד</t>
  </si>
  <si>
    <t>חודש</t>
  </si>
  <si>
    <t>אתר</t>
  </si>
  <si>
    <t>שעות תקן</t>
  </si>
  <si>
    <t>שעות רגילות</t>
  </si>
  <si>
    <t>שעות חריגות</t>
  </si>
  <si>
    <t>תאריך</t>
  </si>
  <si>
    <t>יום בשבוע</t>
  </si>
  <si>
    <t>שעת התחלה</t>
  </si>
  <si>
    <t>שעת סיום</t>
  </si>
  <si>
    <t>סה"כ מחושב (עשרוני)</t>
  </si>
  <si>
    <t>כוננות</t>
  </si>
  <si>
    <t>הערות</t>
  </si>
  <si>
    <t>שבת</t>
  </si>
  <si>
    <t>X</t>
  </si>
  <si>
    <t>ראשון</t>
  </si>
  <si>
    <t>שני</t>
  </si>
  <si>
    <t>שלישי</t>
  </si>
  <si>
    <t>רביעי</t>
  </si>
  <si>
    <t>חמישי</t>
  </si>
  <si>
    <t>שישי</t>
  </si>
  <si>
    <t>סה"כ שעות</t>
  </si>
  <si>
    <t>חתימת העובד</t>
  </si>
  <si>
    <t>סה"כ שעות חריגות</t>
  </si>
  <si>
    <t>חתימת מנהל האתר</t>
  </si>
  <si>
    <t>סה"כ ימי כוננות</t>
  </si>
  <si>
    <t>חתימת מנהל המחשוב</t>
  </si>
  <si>
    <t>תאריך בחודש</t>
  </si>
  <si>
    <t>יום</t>
  </si>
  <si>
    <t>שעת כניסה</t>
  </si>
  <si>
    <t>שעת יציאה</t>
  </si>
  <si>
    <t>סה"כ</t>
  </si>
  <si>
    <t>סיכום שבועי</t>
  </si>
  <si>
    <t>סוג</t>
  </si>
  <si>
    <t>בשבוע</t>
  </si>
  <si>
    <t>מופע</t>
  </si>
  <si>
    <t>ק.פעולה</t>
  </si>
  <si>
    <t>כניסה</t>
  </si>
  <si>
    <t>יציאה</t>
  </si>
  <si>
    <t>תקו</t>
  </si>
  <si>
    <t>בפועל</t>
  </si>
  <si>
    <t>עודף</t>
  </si>
  <si>
    <t>קיזוז</t>
  </si>
  <si>
    <t>חוסר</t>
  </si>
  <si>
    <t>השלמה</t>
  </si>
  <si>
    <t>חוסר אחרי השלמה</t>
  </si>
  <si>
    <t>שעון</t>
  </si>
  <si>
    <t>סיכום חודשי</t>
  </si>
  <si>
    <t>חודש (אנגלית)</t>
  </si>
  <si>
    <t>:דוח סיכום חודשי לעובד לחודש</t>
  </si>
  <si>
    <t>חוסר אחר השלמה</t>
  </si>
  <si>
    <t>עודף אחרי השלמה</t>
  </si>
  <si>
    <t>נלקח להשלמת חוסר</t>
  </si>
  <si>
    <t>תקן</t>
  </si>
  <si>
    <t>ק. דיווח</t>
  </si>
  <si>
    <t/>
  </si>
  <si>
    <t>סה"כ שעות נוספות</t>
  </si>
  <si>
    <t>סה"כ שעות לתשלום</t>
  </si>
  <si>
    <t>שעות לא לתשלום</t>
  </si>
  <si>
    <t>:חתימת עובד</t>
  </si>
  <si>
    <t>:חתימת מנהל</t>
  </si>
  <si>
    <t>נספח הערות</t>
  </si>
  <si>
    <t>כאשר ריק</t>
  </si>
  <si>
    <t>כאשר יש ערך</t>
  </si>
  <si>
    <r>
      <rPr>
        <b/>
        <sz val="20"/>
        <color rgb="FF000000"/>
        <rFont val="Arial"/>
        <family val="2"/>
      </rPr>
      <t>, ,</t>
    </r>
    <r>
      <rPr>
        <b/>
        <u/>
        <sz val="20"/>
        <color rgb="FF000000"/>
        <rFont val="Arial"/>
        <family val="2"/>
      </rPr>
      <t xml:space="preserve"> דוח זה נבדק על ידי</t>
    </r>
  </si>
  <si>
    <t>1</t>
  </si>
  <si>
    <t>2</t>
  </si>
  <si>
    <t>3</t>
  </si>
  <si>
    <t>4</t>
  </si>
  <si>
    <t>5</t>
  </si>
  <si>
    <t>17.09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</si>
  <si>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</si>
  <si>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</si>
  <si>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</si>
  <si>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</si>
  <si>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</si>
  <si>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</si>
  <si>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</si>
  <si>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</si>
  <si>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</si>
  <si>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</si>
  <si>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</si>
  <si>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</si>
  <si>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</si>
  <si>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</si>
  <si>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</si>
  <si>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</si>
  <si>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</si>
  <si>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</si>
  <si>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</si>
  <si>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</si>
  <si>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</si>
  <si>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</si>
  <si>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</si>
  <si>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</si>
  <si>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</si>
  <si>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17.08</t>
  </si>
  <si>
    <t>7.40</t>
  </si>
  <si>
    <t>7.39</t>
  </si>
  <si>
    <t>7.46</t>
  </si>
  <si>
    <t>31</t>
  </si>
  <si>
    <t>9.29</t>
  </si>
  <si>
    <t>7.48</t>
  </si>
  <si>
    <t>חופש</t>
  </si>
  <si>
    <t>9.23</t>
  </si>
  <si>
    <t>17.11</t>
  </si>
  <si>
    <t>37.44</t>
  </si>
  <si>
    <t>7.41</t>
  </si>
  <si>
    <t>16.39</t>
  </si>
  <si>
    <t>7.53</t>
  </si>
  <si>
    <t>7.47</t>
  </si>
  <si>
    <t>7.51</t>
  </si>
  <si>
    <t>17.00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</si>
</sst>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[$-409]d\-mmm\-yy;@"/>
    <numFmt numFmtId="165" formatCode="h:mm;@"/>
    <numFmt numFmtId="166" formatCode="mmmm"/>
    <numFmt numFmtId="167" formatCode="[$-1000000]h:mm;@"/>
    <numFmt numFmtId="168" formatCode="dd"/>
    <numFmt numFmtId="169" formatCode="[$-409]mmmm"/>
    <numFmt numFmtId="170" formatCode="d"/>
    <numFmt numFmtId="171" formatCode="0;\-0;;@"/>
    <numFmt numFmtId="172" formatCode="mm/yyyy"/>
  </numFmts>
  <fonts count="47" x14ac:knownFonts="1">
    <font>
      <sz val="10"/>
      <name val="Arial"/>
      <charset val="177"/>
    </font>
    <font>
      <sz val="10"/>
      <name val="Arial"/>
      <family val="2"/>
    </font>
    <font>
      <sz val="9"/>
      <name val="Tahoma"/>
      <family val="2"/>
    </font>
    <font>
      <b/>
      <sz val="10"/>
      <name val="Arial"/>
      <family val="2"/>
    </font>
    <font>
      <b/>
      <sz val="11"/>
      <name val="Tahoma"/>
      <family val="2"/>
    </font>
    <font>
      <b/>
      <sz val="10"/>
      <name val="Tahoma"/>
      <family val="2"/>
    </font>
    <font>
      <sz val="11"/>
      <name val="Tahoma"/>
      <family val="2"/>
    </font>
    <font>
      <sz val="10"/>
      <name val="Tahoma"/>
      <family val="2"/>
    </font>
    <font>
      <sz val="8"/>
      <name val="Tahoma"/>
      <family val="2"/>
    </font>
    <font>
      <b/>
      <sz val="9"/>
      <name val="Tahoma"/>
      <family val="2"/>
    </font>
    <font>
      <b/>
      <sz val="10"/>
      <name val="Arial"/>
      <family val="2"/>
    </font>
    <font>
      <sz val="12"/>
      <color indexed="81"/>
      <name val="Tahoma"/>
      <family val="2"/>
    </font>
    <font>
      <sz val="8"/>
      <color indexed="81"/>
      <name val="Tahoma"/>
      <family val="2"/>
    </font>
    <font>
      <b/>
      <sz val="12"/>
      <color indexed="81"/>
      <name val="Tahoma"/>
      <family val="2"/>
    </font>
    <font>
      <b/>
      <u/>
      <sz val="12"/>
      <color indexed="81"/>
      <name val="Tahoma"/>
      <family val="2"/>
    </font>
    <font>
      <b/>
      <sz val="11"/>
      <color theme="1"/>
      <name val="Arial"/>
      <family val="2"/>
      <scheme val="minor"/>
    </font>
    <font>
      <sz val="10"/>
      <name val="Arial"/>
      <family val="2"/>
      <scheme val="minor"/>
    </font>
    <font>
      <b/>
      <sz val="11"/>
      <color rgb="FF008000"/>
      <name val="Arial"/>
      <family val="2"/>
    </font>
    <font>
      <b/>
      <sz val="11"/>
      <color rgb="FF556B2F"/>
      <name val="Arial"/>
      <family val="2"/>
    </font>
    <font>
      <b/>
      <sz val="11"/>
      <color rgb="FF000000"/>
      <name val="Arial"/>
      <family val="2"/>
    </font>
    <font>
      <b/>
      <sz val="11"/>
      <color rgb="FF006400"/>
      <name val="Arial"/>
      <family val="2"/>
    </font>
    <font>
      <b/>
      <sz val="11"/>
      <color rgb="FFFF0000"/>
      <name val="Arial"/>
      <family val="2"/>
    </font>
    <font>
      <sz val="11"/>
      <name val="Arial"/>
      <family val="2"/>
    </font>
    <font>
      <sz val="20"/>
      <name val="Arial"/>
      <family val="2"/>
    </font>
    <font>
      <b/>
      <sz val="20"/>
      <color rgb="FFFFFFFF"/>
      <name val="Tahoma"/>
      <family val="2"/>
    </font>
    <font>
      <b/>
      <sz val="20"/>
      <color rgb="FF000000"/>
      <name val="Tahoma"/>
      <family val="2"/>
    </font>
    <font>
      <b/>
      <sz val="20"/>
      <color rgb="FF000000"/>
      <name val="Arial"/>
      <family val="2"/>
    </font>
    <font>
      <b/>
      <u/>
      <sz val="20"/>
      <color rgb="FF000000"/>
      <name val="Arial"/>
      <family val="2"/>
    </font>
    <font>
      <b/>
      <sz val="36"/>
      <color rgb="FF4682B4"/>
      <name val="Tahoma"/>
      <family val="2"/>
    </font>
    <font>
      <sz val="36"/>
      <color rgb="FF708090"/>
      <name val="Tahoma"/>
      <family val="2"/>
    </font>
    <font>
      <b/>
      <sz val="20"/>
      <name val="Arial"/>
      <family val="2"/>
    </font>
    <font>
      <sz val="16"/>
      <name val="Arial"/>
      <family val="2"/>
    </font>
    <font>
      <sz val="18"/>
      <name val="Arial"/>
      <family val="2"/>
    </font>
    <font>
      <b/>
      <sz val="10"/>
      <color rgb="FF006600"/>
      <name val="Arial"/>
      <charset val="177"/>
    </font>
    <font>
      <sz val="10"/>
      <color rgb="FF008000"/>
      <name val="Arial"/>
      <charset val="177"/>
    </font>
    <font>
      <sz val="10"/>
      <color rgb="FF556B2F"/>
      <name val="Arial"/>
      <charset val="177"/>
    </font>
    <font>
      <sz val="10"/>
      <color rgb="FF000000"/>
      <name val="Arial"/>
      <charset val="177"/>
    </font>
    <font>
      <sz val="10"/>
      <color rgb="FF006400"/>
      <name val="Arial"/>
      <charset val="177"/>
    </font>
    <font>
      <sz val="10"/>
      <color rgb="FFFF0000"/>
      <name val="Arial"/>
      <charset val="177"/>
    </font>
    <font>
      <sz val="10"/>
      <color rgb="FFFF7F50"/>
      <name val="Arial"/>
      <charset val="177"/>
    </font>
    <font>
      <sz val="10"/>
      <color rgb="FF8A2BE2"/>
      <name val="Arial"/>
      <charset val="177"/>
    </font>
    <font>
      <b/>
      <sz val="10"/>
      <color rgb="FF008000"/>
      <name val="Arial"/>
      <charset val="177"/>
    </font>
    <font>
      <b/>
      <sz val="10"/>
      <color rgb="FFFF7F50"/>
      <name val="Arial"/>
      <charset val="177"/>
    </font>
    <font>
      <b/>
      <sz val="10"/>
      <color rgb="FF556B2F"/>
      <name val="Arial"/>
      <charset val="177"/>
    </font>
    <font>
      <b/>
      <sz val="10"/>
      <color rgb="FF000000"/>
      <name val="Arial"/>
      <charset val="177"/>
    </font>
    <font>
      <b/>
      <sz val="10"/>
      <color rgb="FFFF0000"/>
      <name val="Arial"/>
      <charset val="177"/>
    </font>
    <font>
      <sz val="11"/>
      <color rgb="FF0064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FFE6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4682B4"/>
        <bgColor rgb="FF4682B4"/>
      </patternFill>
    </fill>
    <fill>
      <patternFill patternType="solid">
        <fgColor rgb="FFFFFACD"/>
        <bgColor rgb="FFFFFACD"/>
      </patternFill>
    </fill>
    <fill>
      <patternFill patternType="solid">
        <fgColor rgb="FFFAEBD7"/>
        <bgColor rgb="FFFAEBD7"/>
      </patternFill>
    </fill>
    <fill>
      <patternFill patternType="solid">
        <fgColor rgb="FF99FFCC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9933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double">
        <color rgb="FF009933"/>
      </right>
      <top style="medium">
        <color rgb="FF000000"/>
      </top>
      <bottom style="medium">
        <color rgb="FF000000"/>
      </bottom>
      <diagonal/>
    </border>
    <border>
      <left style="double">
        <color rgb="FF009933"/>
      </left>
      <right style="medium">
        <color rgb="FF000000"/>
      </right>
      <top style="medium">
        <color rgb="FF000000"/>
      </top>
      <bottom style="double">
        <color rgb="FF009933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double">
        <color rgb="FF009933"/>
      </bottom>
      <diagonal/>
    </border>
    <border>
      <left/>
      <right/>
      <top/>
      <bottom style="double">
        <color rgb="FF009933"/>
      </bottom>
      <diagonal/>
    </border>
    <border>
      <left/>
      <right style="double">
        <color rgb="FF009933"/>
      </right>
      <top/>
      <bottom style="double">
        <color rgb="FF00993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n">
        <color rgb="FFD3D3D3"/>
      </left>
      <right/>
      <top style="thin">
        <color rgb="FFD3D3D3"/>
      </top>
      <bottom style="thin">
        <color rgb="FFD3D3D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rgb="FF009933"/>
      </left>
      <right style="medium">
        <color rgb="FF000000"/>
      </right>
      <top style="double">
        <color rgb="FF009933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double">
        <color rgb="FF009933"/>
      </top>
      <bottom style="medium">
        <color rgb="FF000000"/>
      </bottom>
      <diagonal/>
    </border>
    <border>
      <left style="medium">
        <color rgb="FF000000"/>
      </left>
      <right style="double">
        <color rgb="FF009933"/>
      </right>
      <top style="double">
        <color rgb="FF009933"/>
      </top>
      <bottom style="medium">
        <color rgb="FF000000"/>
      </bottom>
      <diagonal/>
    </border>
    <border>
      <left style="medium">
        <color rgb="FF000000"/>
      </left>
      <right style="double">
        <color rgb="FF009933"/>
      </right>
      <top style="medium">
        <color rgb="FF000000"/>
      </top>
      <bottom style="double">
        <color rgb="FF009933"/>
      </bottom>
      <diagonal/>
    </border>
  </borders>
  <cellStyleXfs count="2">
    <xf numFmtId="0" fontId="0" fillId="0" borderId="0"/>
    <xf numFmtId="0" fontId="1" fillId="0" borderId="0"/>
  </cellStyleXfs>
  <cellXfs count="154">
    <xf numFmtId="0" fontId="0" fillId="0" borderId="0" xfId="0"/>
    <xf numFmtId="0" fontId="1" fillId="0" borderId="0" xfId="1"/>
    <xf numFmtId="0" fontId="1" fillId="0" borderId="0" xfId="1" applyAlignment="1">
      <alignment vertical="center"/>
    </xf>
    <xf numFmtId="0" fontId="2" fillId="0" borderId="1" xfId="1" applyFont="1" applyBorder="1" applyAlignment="1">
      <alignment vertical="center"/>
    </xf>
    <xf numFmtId="0" fontId="3" fillId="0" borderId="1" xfId="1" applyFont="1" applyBorder="1" applyAlignment="1" applyProtection="1">
      <alignment vertical="center"/>
      <protection locked="0"/>
    </xf>
    <xf numFmtId="0" fontId="2" fillId="0" borderId="1" xfId="1" applyFont="1" applyBorder="1" applyAlignment="1" applyProtection="1">
      <alignment vertical="center"/>
    </xf>
    <xf numFmtId="0" fontId="2" fillId="0" borderId="0" xfId="1" applyFont="1" applyBorder="1" applyAlignment="1" applyProtection="1">
      <alignment vertical="center"/>
    </xf>
    <xf numFmtId="0" fontId="5" fillId="0" borderId="0" xfId="1" applyFont="1" applyBorder="1" applyAlignment="1" applyProtection="1">
      <alignment vertical="center"/>
    </xf>
    <xf numFmtId="0" fontId="2" fillId="0" borderId="1" xfId="1" applyFont="1" applyBorder="1" applyAlignment="1">
      <alignment horizontal="center" wrapText="1"/>
    </xf>
    <xf numFmtId="0" fontId="1" fillId="0" borderId="0" xfId="1" applyFill="1" applyBorder="1" applyAlignment="1">
      <alignment horizontal="center" wrapText="1"/>
    </xf>
    <xf numFmtId="0" fontId="1" fillId="0" borderId="0" xfId="1" applyBorder="1"/>
    <xf numFmtId="0" fontId="1" fillId="0" borderId="0" xfId="1" applyProtection="1">
      <protection hidden="1"/>
    </xf>
    <xf numFmtId="164" fontId="7" fillId="0" borderId="1" xfId="1" applyNumberFormat="1" applyFont="1" applyBorder="1" applyAlignment="1" applyProtection="1">
      <alignment horizontal="center"/>
      <protection hidden="1"/>
    </xf>
    <xf numFmtId="0" fontId="7" fillId="0" borderId="1" xfId="1" applyNumberFormat="1" applyFont="1" applyBorder="1" applyAlignment="1" applyProtection="1">
      <alignment horizontal="center"/>
      <protection hidden="1"/>
    </xf>
    <xf numFmtId="165" fontId="1" fillId="0" borderId="1" xfId="1" applyNumberFormat="1" applyBorder="1" applyAlignment="1" applyProtection="1">
      <alignment horizontal="center"/>
      <protection locked="0"/>
    </xf>
    <xf numFmtId="4" fontId="1" fillId="0" borderId="1" xfId="1" applyNumberFormat="1" applyBorder="1" applyAlignment="1" applyProtection="1">
      <alignment horizontal="center"/>
      <protection hidden="1"/>
    </xf>
    <xf numFmtId="0" fontId="1" fillId="0" borderId="1" xfId="1" applyBorder="1" applyAlignment="1" applyProtection="1">
      <alignment horizontal="center"/>
      <protection locked="0"/>
    </xf>
    <xf numFmtId="0" fontId="8" fillId="0" borderId="1" xfId="1" applyFont="1" applyBorder="1" applyProtection="1">
      <protection locked="0"/>
    </xf>
    <xf numFmtId="0" fontId="1" fillId="0" borderId="0" xfId="1" applyAlignment="1">
      <alignment horizontal="center"/>
    </xf>
    <xf numFmtId="0" fontId="1" fillId="0" borderId="0" xfId="1" applyNumberFormat="1" applyBorder="1" applyAlignment="1" applyProtection="1">
      <alignment horizontal="center"/>
      <protection hidden="1"/>
    </xf>
    <xf numFmtId="164" fontId="1" fillId="0" borderId="0" xfId="1" applyNumberFormat="1"/>
    <xf numFmtId="164" fontId="1" fillId="0" borderId="0" xfId="1" applyNumberFormat="1" applyBorder="1"/>
    <xf numFmtId="0" fontId="1" fillId="0" borderId="0" xfId="1" applyNumberFormat="1" applyBorder="1" applyAlignment="1">
      <alignment horizontal="center"/>
    </xf>
    <xf numFmtId="165" fontId="1" fillId="0" borderId="0" xfId="1" applyNumberFormat="1" applyBorder="1" applyAlignment="1">
      <alignment horizontal="center"/>
    </xf>
    <xf numFmtId="4" fontId="1" fillId="0" borderId="0" xfId="1" applyNumberFormat="1" applyBorder="1" applyAlignment="1">
      <alignment horizontal="center"/>
    </xf>
    <xf numFmtId="0" fontId="1" fillId="0" borderId="0" xfId="1" applyBorder="1" applyAlignment="1">
      <alignment horizontal="center"/>
    </xf>
    <xf numFmtId="4" fontId="10" fillId="0" borderId="1" xfId="1" applyNumberFormat="1" applyFont="1" applyBorder="1" applyAlignment="1" applyProtection="1">
      <alignment horizontal="center" vertical="center"/>
      <protection hidden="1"/>
    </xf>
    <xf numFmtId="0" fontId="1" fillId="0" borderId="1" xfId="1" applyBorder="1" applyAlignment="1">
      <alignment vertical="center"/>
    </xf>
    <xf numFmtId="0" fontId="1" fillId="0" borderId="0" xfId="1" applyBorder="1" applyAlignment="1">
      <alignment vertical="center"/>
    </xf>
    <xf numFmtId="0" fontId="10" fillId="0" borderId="1" xfId="1" applyFont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>
      <alignment horizontal="center"/>
    </xf>
    <xf numFmtId="20" fontId="16" fillId="3" borderId="1" xfId="0" applyNumberFormat="1" applyFont="1" applyFill="1" applyBorder="1" applyAlignment="1">
      <alignment horizontal="center" vertical="center" wrapText="1"/>
    </xf>
    <xf numFmtId="2" fontId="16" fillId="3" borderId="1" xfId="0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/>
    </xf>
    <xf numFmtId="2" fontId="1" fillId="0" borderId="1" xfId="1" applyNumberFormat="1" applyBorder="1" applyAlignment="1" applyProtection="1">
      <alignment horizontal="center"/>
      <protection hidden="1"/>
    </xf>
    <xf numFmtId="2" fontId="10" fillId="0" borderId="1" xfId="1" applyNumberFormat="1" applyFont="1" applyBorder="1" applyAlignment="1" applyProtection="1">
      <alignment horizontal="center" vertical="center"/>
      <protection hidden="1"/>
    </xf>
    <xf numFmtId="167" fontId="16" fillId="3" borderId="1" xfId="0" applyNumberFormat="1" applyFont="1" applyFill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49" fontId="0" fillId="0" borderId="0" xfId="0" applyNumberFormat="1"/>
    <xf numFmtId="2" fontId="0" fillId="0" borderId="1" xfId="0" applyNumberFormat="1" applyBorder="1" applyAlignment="1">
      <alignment horizontal="center"/>
    </xf>
    <xf numFmtId="2" fontId="0" fillId="0" borderId="0" xfId="0" applyNumberFormat="1"/>
    <xf numFmtId="2" fontId="3" fillId="0" borderId="1" xfId="1" applyNumberFormat="1" applyFont="1" applyBorder="1" applyAlignment="1" applyProtection="1">
      <alignment horizontal="center" vertical="center"/>
      <protection hidden="1"/>
    </xf>
    <xf numFmtId="4" fontId="3" fillId="0" borderId="1" xfId="1" applyNumberFormat="1" applyFont="1" applyBorder="1" applyAlignment="1" applyProtection="1">
      <alignment horizontal="center" vertical="center"/>
      <protection hidden="1"/>
    </xf>
    <xf numFmtId="168" fontId="1" fillId="0" borderId="1" xfId="0" applyNumberFormat="1" applyFont="1" applyBorder="1" applyAlignment="1">
      <alignment horizontal="center"/>
    </xf>
    <xf numFmtId="0" fontId="1" fillId="0" borderId="0" xfId="1" applyAlignment="1" applyProtection="1">
      <alignment horizontal="center"/>
      <protection hidden="1"/>
    </xf>
    <xf numFmtId="14" fontId="7" fillId="0" borderId="1" xfId="1" applyNumberFormat="1" applyFont="1" applyBorder="1" applyAlignment="1" applyProtection="1">
      <alignment horizontal="center"/>
      <protection hidden="1"/>
    </xf>
    <xf numFmtId="0" fontId="15" fillId="2" borderId="1" xfId="0" applyFont="1" applyFill="1" applyBorder="1" applyAlignment="1">
      <alignment horizontal="center" vertical="center"/>
    </xf>
    <xf numFmtId="49" fontId="15" fillId="2" borderId="1" xfId="0" applyNumberFormat="1" applyFont="1" applyFill="1" applyBorder="1" applyAlignment="1">
      <alignment horizontal="center" vertical="center"/>
    </xf>
    <xf numFmtId="2" fontId="15" fillId="2" borderId="1" xfId="0" applyNumberFormat="1" applyFont="1" applyFill="1" applyBorder="1" applyAlignment="1">
      <alignment horizontal="center" vertical="center"/>
    </xf>
    <xf numFmtId="0" fontId="1" fillId="0" borderId="1" xfId="1" applyBorder="1"/>
    <xf numFmtId="0" fontId="0" fillId="0" borderId="1" xfId="0" applyNumberFormat="1" applyBorder="1" applyAlignment="1">
      <alignment horizontal="center"/>
    </xf>
    <xf numFmtId="0" fontId="1" fillId="0" borderId="1" xfId="1" applyNumberFormat="1" applyBorder="1" applyAlignment="1" applyProtection="1">
      <alignment horizontal="center"/>
      <protection hidden="1"/>
    </xf>
    <xf numFmtId="0" fontId="1" fillId="0" borderId="1" xfId="0" applyNumberFormat="1" applyFont="1" applyBorder="1" applyAlignment="1">
      <alignment horizontal="center"/>
    </xf>
    <xf numFmtId="167" fontId="0" fillId="0" borderId="0" xfId="0" applyNumberFormat="1"/>
    <xf numFmtId="20" fontId="0" fillId="0" borderId="0" xfId="0" applyNumberFormat="1"/>
    <xf numFmtId="49" fontId="1" fillId="0" borderId="0" xfId="0" applyNumberFormat="1" applyFont="1"/>
    <xf numFmtId="169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2" fillId="0" borderId="0" xfId="0" applyFont="1" applyFill="1" applyBorder="1" applyAlignment="1"/>
    <xf numFmtId="0" fontId="24" fillId="8" borderId="1" xfId="0" applyNumberFormat="1" applyFont="1" applyFill="1" applyBorder="1" applyAlignment="1">
      <alignment horizontal="center" vertical="center" wrapText="1" readingOrder="1"/>
    </xf>
    <xf numFmtId="0" fontId="25" fillId="9" borderId="1" xfId="0" applyNumberFormat="1" applyFont="1" applyFill="1" applyBorder="1" applyAlignment="1">
      <alignment horizontal="center" vertical="center" wrapText="1" readingOrder="1"/>
    </xf>
    <xf numFmtId="0" fontId="25" fillId="10" borderId="1" xfId="0" applyNumberFormat="1" applyFont="1" applyFill="1" applyBorder="1" applyAlignment="1">
      <alignment horizontal="center" vertical="center" wrapText="1" readingOrder="1"/>
    </xf>
    <xf numFmtId="0" fontId="23" fillId="0" borderId="0" xfId="0" applyFont="1"/>
    <xf numFmtId="0" fontId="27" fillId="0" borderId="0" xfId="0" applyNumberFormat="1" applyFont="1" applyFill="1" applyBorder="1" applyAlignment="1">
      <alignment vertical="top" wrapText="1" readingOrder="1"/>
    </xf>
    <xf numFmtId="0" fontId="26" fillId="0" borderId="0" xfId="0" applyNumberFormat="1" applyFont="1" applyFill="1" applyBorder="1" applyAlignment="1">
      <alignment vertical="top" wrapText="1" readingOrder="1"/>
    </xf>
    <xf numFmtId="0" fontId="24" fillId="8" borderId="13" xfId="0" applyNumberFormat="1" applyFont="1" applyFill="1" applyBorder="1" applyAlignment="1">
      <alignment horizontal="center" vertical="center" wrapText="1" readingOrder="1"/>
    </xf>
    <xf numFmtId="0" fontId="24" fillId="8" borderId="13" xfId="0" applyNumberFormat="1" applyFont="1" applyFill="1" applyBorder="1" applyAlignment="1">
      <alignment vertical="center" wrapText="1" readingOrder="1"/>
    </xf>
    <xf numFmtId="0" fontId="25" fillId="0" borderId="1" xfId="0" applyNumberFormat="1" applyFont="1" applyFill="1" applyBorder="1" applyAlignment="1">
      <alignment horizontal="center" vertical="center" wrapText="1" readingOrder="1"/>
    </xf>
    <xf numFmtId="0" fontId="30" fillId="0" borderId="0" xfId="0" applyFont="1"/>
    <xf numFmtId="0" fontId="30" fillId="0" borderId="0" xfId="0" applyFont="1" applyFill="1" applyBorder="1" applyAlignment="1"/>
    <xf numFmtId="0" fontId="30" fillId="0" borderId="16" xfId="0" applyFont="1" applyFill="1" applyBorder="1" applyAlignment="1"/>
    <xf numFmtId="14" fontId="0" fillId="0" borderId="0" xfId="0" applyNumberFormat="1"/>
    <xf numFmtId="170" fontId="25" fillId="0" borderId="1" xfId="0" applyNumberFormat="1" applyFont="1" applyFill="1" applyBorder="1" applyAlignment="1">
      <alignment horizontal="center" vertical="center" wrapText="1" readingOrder="1"/>
    </xf>
    <xf numFmtId="0" fontId="1" fillId="0" borderId="0" xfId="0" applyNumberFormat="1" applyFont="1" applyBorder="1" applyAlignment="1">
      <alignment horizontal="center"/>
    </xf>
    <xf numFmtId="20" fontId="25" fillId="0" borderId="1" xfId="0" applyNumberFormat="1" applyFont="1" applyFill="1" applyBorder="1" applyAlignment="1">
      <alignment horizontal="center" vertical="center" wrapText="1" readingOrder="1"/>
    </xf>
    <xf numFmtId="0" fontId="31" fillId="0" borderId="0" xfId="0" applyFont="1"/>
    <xf numFmtId="0" fontId="32" fillId="0" borderId="0" xfId="0" applyFont="1"/>
    <xf numFmtId="0" fontId="23" fillId="0" borderId="1" xfId="0" applyFont="1" applyBorder="1"/>
    <xf numFmtId="2" fontId="23" fillId="0" borderId="1" xfId="0" applyNumberFormat="1" applyFont="1" applyBorder="1"/>
    <xf numFmtId="0" fontId="23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171" fontId="24" fillId="8" borderId="1" xfId="0" applyNumberFormat="1" applyFont="1" applyFill="1" applyBorder="1" applyAlignment="1">
      <alignment horizontal="center" vertical="center" wrapText="1" readingOrder="1"/>
    </xf>
    <xf numFmtId="171" fontId="25" fillId="0" borderId="1" xfId="0" applyNumberFormat="1" applyFont="1" applyFill="1" applyBorder="1" applyAlignment="1">
      <alignment horizontal="center" vertical="center" readingOrder="1"/>
    </xf>
    <xf numFmtId="171" fontId="25" fillId="0" borderId="1" xfId="0" applyNumberFormat="1" applyFont="1" applyFill="1" applyBorder="1" applyAlignment="1">
      <alignment horizontal="center" vertical="center" wrapText="1" readingOrder="1"/>
    </xf>
    <xf numFmtId="171" fontId="25" fillId="0" borderId="1" xfId="0" applyNumberFormat="1" applyFont="1" applyFill="1" applyBorder="1" applyAlignment="1">
      <alignment vertical="center" wrapText="1" readingOrder="1"/>
    </xf>
    <xf numFmtId="171" fontId="25" fillId="9" borderId="1" xfId="0" applyNumberFormat="1" applyFont="1" applyFill="1" applyBorder="1" applyAlignment="1">
      <alignment horizontal="center" vertical="center" wrapText="1" readingOrder="1"/>
    </xf>
    <xf numFmtId="171" fontId="25" fillId="9" borderId="1" xfId="0" applyNumberFormat="1" applyFont="1" applyFill="1" applyBorder="1" applyAlignment="1">
      <alignment horizontal="center" vertical="center" readingOrder="1"/>
    </xf>
    <xf numFmtId="171" fontId="25" fillId="9" borderId="1" xfId="0" applyNumberFormat="1" applyFont="1" applyFill="1" applyBorder="1" applyAlignment="1">
      <alignment vertical="center" wrapText="1" readingOrder="1"/>
    </xf>
    <xf numFmtId="171" fontId="25" fillId="10" borderId="1" xfId="0" applyNumberFormat="1" applyFont="1" applyFill="1" applyBorder="1" applyAlignment="1">
      <alignment horizontal="center" vertical="center" wrapText="1" readingOrder="1"/>
    </xf>
    <xf numFmtId="171" fontId="25" fillId="10" borderId="5" xfId="0" applyNumberFormat="1" applyFont="1" applyFill="1" applyBorder="1" applyAlignment="1">
      <alignment vertical="center" wrapText="1" readingOrder="1"/>
    </xf>
    <xf numFmtId="0" fontId="26" fillId="0" borderId="0" xfId="0" applyNumberFormat="1" applyFont="1" applyFill="1" applyBorder="1" applyAlignment="1">
      <alignment horizontal="center" vertical="center" wrapText="1" readingOrder="1"/>
    </xf>
    <xf numFmtId="2" fontId="26" fillId="10" borderId="17" xfId="0" applyNumberFormat="1" applyFont="1" applyFill="1" applyBorder="1" applyAlignment="1">
      <alignment horizontal="center" vertical="center" wrapText="1" readingOrder="1"/>
    </xf>
    <xf numFmtId="0" fontId="26" fillId="10" borderId="17" xfId="0" applyNumberFormat="1" applyFont="1" applyFill="1" applyBorder="1" applyAlignment="1">
      <alignment horizontal="center" vertical="center" wrapText="1" readingOrder="1"/>
    </xf>
    <xf numFmtId="171" fontId="26" fillId="10" borderId="17" xfId="0" applyNumberFormat="1" applyFont="1" applyFill="1" applyBorder="1" applyAlignment="1">
      <alignment horizontal="center" vertical="center" wrapText="1" readingOrder="1"/>
    </xf>
    <xf numFmtId="171" fontId="25" fillId="10" borderId="1" xfId="0" applyNumberFormat="1" applyFont="1" applyFill="1" applyBorder="1" applyAlignment="1">
      <alignment vertical="center" wrapText="1" readingOrder="1"/>
    </xf>
    <xf numFmtId="165" fontId="0" fillId="0" borderId="1" xfId="0" applyNumberFormat="1" applyBorder="1" applyAlignment="1">
      <alignment horizontal="center"/>
    </xf>
    <xf numFmtId="49" fontId="33" fillId="11" borderId="18" xfId="0" applyNumberFormat="1" applyFont="1" applyFill="1" applyBorder="1" applyAlignment="1">
      <alignment horizontal="center" vertical="center" wrapText="1"/>
    </xf>
    <xf numFmtId="49" fontId="33" fillId="11" borderId="19" xfId="0" applyNumberFormat="1" applyFont="1" applyFill="1" applyBorder="1" applyAlignment="1">
      <alignment horizontal="center" vertical="center" wrapText="1"/>
    </xf>
    <xf numFmtId="49" fontId="33" fillId="11" borderId="20" xfId="0" applyNumberFormat="1" applyFont="1" applyFill="1" applyBorder="1" applyAlignment="1">
      <alignment horizontal="center" vertical="center" wrapText="1"/>
    </xf>
    <xf numFmtId="49" fontId="34" fillId="5" borderId="7" xfId="0" applyNumberFormat="1" applyFont="1" applyFill="1" applyBorder="1" applyAlignment="1">
      <alignment vertical="center" wrapText="1"/>
    </xf>
    <xf numFmtId="49" fontId="34" fillId="5" borderId="6" xfId="0" applyNumberFormat="1" applyFont="1" applyFill="1" applyBorder="1" applyAlignment="1">
      <alignment vertical="center" wrapText="1"/>
    </xf>
    <xf numFmtId="49" fontId="35" fillId="5" borderId="6" xfId="0" applyNumberFormat="1" applyFont="1" applyFill="1" applyBorder="1" applyAlignment="1">
      <alignment vertical="center" wrapText="1"/>
    </xf>
    <xf numFmtId="49" fontId="36" fillId="5" borderId="6" xfId="0" applyNumberFormat="1" applyFont="1" applyFill="1" applyBorder="1" applyAlignment="1">
      <alignment vertical="center" wrapText="1"/>
    </xf>
    <xf numFmtId="49" fontId="37" fillId="5" borderId="6" xfId="0" applyNumberFormat="1" applyFont="1" applyFill="1" applyBorder="1" applyAlignment="1">
      <alignment vertical="center" wrapText="1"/>
    </xf>
    <xf numFmtId="49" fontId="38" fillId="5" borderId="6" xfId="0" applyNumberFormat="1" applyFont="1" applyFill="1" applyBorder="1" applyAlignment="1">
      <alignment vertical="center" wrapText="1"/>
    </xf>
    <xf numFmtId="49" fontId="36" fillId="5" borderId="8" xfId="0" applyNumberFormat="1" applyFont="1" applyFill="1" applyBorder="1" applyAlignment="1">
      <alignment vertical="center" wrapText="1"/>
    </xf>
    <xf numFmtId="49" fontId="39" fillId="5" borderId="6" xfId="0" applyNumberFormat="1" applyFont="1" applyFill="1" applyBorder="1" applyAlignment="1">
      <alignment vertical="center" wrapText="1"/>
    </xf>
    <xf numFmtId="49" fontId="40" fillId="5" borderId="6" xfId="0" applyNumberFormat="1" applyFont="1" applyFill="1" applyBorder="1" applyAlignment="1">
      <alignment vertical="center" wrapText="1"/>
    </xf>
    <xf numFmtId="49" fontId="34" fillId="6" borderId="7" xfId="0" applyNumberFormat="1" applyFont="1" applyFill="1" applyBorder="1" applyAlignment="1">
      <alignment vertical="center" wrapText="1"/>
    </xf>
    <xf numFmtId="49" fontId="40" fillId="6" borderId="6" xfId="0" applyNumberFormat="1" applyFont="1" applyFill="1" applyBorder="1" applyAlignment="1">
      <alignment vertical="center" wrapText="1"/>
    </xf>
    <xf numFmtId="49" fontId="34" fillId="6" borderId="6" xfId="0" applyNumberFormat="1" applyFont="1" applyFill="1" applyBorder="1" applyAlignment="1">
      <alignment vertical="center" wrapText="1"/>
    </xf>
    <xf numFmtId="49" fontId="36" fillId="6" borderId="6" xfId="0" applyNumberFormat="1" applyFont="1" applyFill="1" applyBorder="1" applyAlignment="1">
      <alignment vertical="center" wrapText="1"/>
    </xf>
    <xf numFmtId="49" fontId="37" fillId="6" borderId="6" xfId="0" applyNumberFormat="1" applyFont="1" applyFill="1" applyBorder="1" applyAlignment="1">
      <alignment vertical="center" wrapText="1"/>
    </xf>
    <xf numFmtId="49" fontId="38" fillId="6" borderId="6" xfId="0" applyNumberFormat="1" applyFont="1" applyFill="1" applyBorder="1" applyAlignment="1">
      <alignment vertical="center" wrapText="1"/>
    </xf>
    <xf numFmtId="49" fontId="36" fillId="6" borderId="8" xfId="0" applyNumberFormat="1" applyFont="1" applyFill="1" applyBorder="1" applyAlignment="1">
      <alignment vertical="center" wrapText="1"/>
    </xf>
    <xf numFmtId="49" fontId="39" fillId="6" borderId="6" xfId="0" applyNumberFormat="1" applyFont="1" applyFill="1" applyBorder="1" applyAlignment="1">
      <alignment vertical="center" wrapText="1"/>
    </xf>
    <xf numFmtId="49" fontId="41" fillId="7" borderId="9" xfId="0" applyNumberFormat="1" applyFont="1" applyFill="1" applyBorder="1" applyAlignment="1">
      <alignment vertical="center" wrapText="1"/>
    </xf>
    <xf numFmtId="49" fontId="41" fillId="7" borderId="10" xfId="0" applyNumberFormat="1" applyFont="1" applyFill="1" applyBorder="1" applyAlignment="1">
      <alignment vertical="center" wrapText="1"/>
    </xf>
    <xf numFmtId="49" fontId="42" fillId="7" borderId="10" xfId="0" applyNumberFormat="1" applyFont="1" applyFill="1" applyBorder="1" applyAlignment="1">
      <alignment vertical="center" wrapText="1"/>
    </xf>
    <xf numFmtId="49" fontId="43" fillId="5" borderId="10" xfId="0" applyNumberFormat="1" applyFont="1" applyFill="1" applyBorder="1" applyAlignment="1">
      <alignment vertical="center" wrapText="1"/>
    </xf>
    <xf numFmtId="49" fontId="44" fillId="7" borderId="10" xfId="0" applyNumberFormat="1" applyFont="1" applyFill="1" applyBorder="1" applyAlignment="1">
      <alignment vertical="center" wrapText="1"/>
    </xf>
    <xf numFmtId="49" fontId="45" fillId="7" borderId="10" xfId="0" applyNumberFormat="1" applyFont="1" applyFill="1" applyBorder="1" applyAlignment="1">
      <alignment vertical="center" wrapText="1"/>
    </xf>
    <xf numFmtId="49" fontId="44" fillId="7" borderId="21" xfId="0" applyNumberFormat="1" applyFont="1" applyFill="1" applyBorder="1" applyAlignment="1">
      <alignment vertical="center" wrapText="1"/>
    </xf>
    <xf numFmtId="49" fontId="17" fillId="7" borderId="9" xfId="0" applyNumberFormat="1" applyFont="1" applyFill="1" applyBorder="1" applyAlignment="1">
      <alignment vertical="center" wrapText="1"/>
    </xf>
    <xf numFmtId="49" fontId="17" fillId="7" borderId="10" xfId="0" applyNumberFormat="1" applyFont="1" applyFill="1" applyBorder="1" applyAlignment="1">
      <alignment vertical="center" wrapText="1"/>
    </xf>
    <xf numFmtId="49" fontId="18" fillId="5" borderId="10" xfId="0" applyNumberFormat="1" applyFont="1" applyFill="1" applyBorder="1" applyAlignment="1">
      <alignment vertical="center" wrapText="1"/>
    </xf>
    <xf numFmtId="49" fontId="19" fillId="7" borderId="10" xfId="0" applyNumberFormat="1" applyFont="1" applyFill="1" applyBorder="1" applyAlignment="1">
      <alignment vertical="center" wrapText="1"/>
    </xf>
    <xf numFmtId="49" fontId="20" fillId="7" borderId="10" xfId="0" applyNumberFormat="1" applyFont="1" applyFill="1" applyBorder="1" applyAlignment="1">
      <alignment vertical="center" wrapText="1"/>
    </xf>
    <xf numFmtId="49" fontId="21" fillId="7" borderId="10" xfId="0" applyNumberFormat="1" applyFont="1" applyFill="1" applyBorder="1" applyAlignment="1">
      <alignment vertical="center" wrapText="1"/>
    </xf>
    <xf numFmtId="49" fontId="0" fillId="4" borderId="11" xfId="0" applyNumberFormat="1" applyFill="1" applyBorder="1"/>
    <xf numFmtId="49" fontId="0" fillId="4" borderId="12" xfId="0" applyNumberFormat="1" applyFill="1" applyBorder="1"/>
    <xf numFmtId="0" fontId="46" fillId="0" borderId="0" xfId="0" applyFont="1"/>
    <xf numFmtId="0" fontId="8" fillId="0" borderId="1" xfId="1" applyFont="1" applyBorder="1" applyAlignment="1" applyProtection="1">
      <alignment horizontal="center"/>
      <protection locked="0"/>
    </xf>
    <xf numFmtId="0" fontId="15" fillId="2" borderId="3" xfId="0" applyFont="1" applyFill="1" applyBorder="1" applyAlignment="1">
      <alignment horizontal="center"/>
    </xf>
    <xf numFmtId="0" fontId="15" fillId="2" borderId="4" xfId="0" applyFont="1" applyFill="1" applyBorder="1" applyAlignment="1">
      <alignment horizontal="center"/>
    </xf>
    <xf numFmtId="0" fontId="15" fillId="2" borderId="2" xfId="0" applyFont="1" applyFill="1" applyBorder="1" applyAlignment="1">
      <alignment horizontal="center"/>
    </xf>
    <xf numFmtId="172" fontId="28" fillId="0" borderId="0" xfId="0" applyNumberFormat="1" applyFont="1" applyFill="1" applyBorder="1" applyAlignment="1">
      <alignment horizontal="center" vertical="top" wrapText="1" readingOrder="2"/>
    </xf>
    <xf numFmtId="0" fontId="28" fillId="0" borderId="0" xfId="0" applyNumberFormat="1" applyFont="1" applyFill="1" applyBorder="1" applyAlignment="1">
      <alignment horizontal="center" vertical="top" wrapText="1" readingOrder="2"/>
    </xf>
    <xf numFmtId="0" fontId="26" fillId="10" borderId="17" xfId="0" applyNumberFormat="1" applyFont="1" applyFill="1" applyBorder="1" applyAlignment="1">
      <alignment horizontal="center" vertical="center" wrapText="1" readingOrder="1"/>
    </xf>
    <xf numFmtId="0" fontId="24" fillId="8" borderId="15" xfId="0" applyNumberFormat="1" applyFont="1" applyFill="1" applyBorder="1" applyAlignment="1">
      <alignment horizontal="center" vertical="center" wrapText="1" readingOrder="1"/>
    </xf>
    <xf numFmtId="0" fontId="24" fillId="8" borderId="14" xfId="0" applyNumberFormat="1" applyFont="1" applyFill="1" applyBorder="1" applyAlignment="1">
      <alignment horizontal="center" vertical="center" wrapText="1" readingOrder="1"/>
    </xf>
    <xf numFmtId="0" fontId="29" fillId="0" borderId="0" xfId="0" applyNumberFormat="1" applyFont="1" applyFill="1" applyBorder="1" applyAlignment="1">
      <alignment horizontal="center" vertical="top" wrapText="1" readingOrder="2"/>
    </xf>
    <xf numFmtId="0" fontId="27" fillId="0" borderId="0" xfId="0" applyNumberFormat="1" applyFont="1" applyFill="1" applyBorder="1" applyAlignment="1">
      <alignment horizontal="center" vertical="top" wrapText="1" readingOrder="1"/>
    </xf>
    <xf numFmtId="0" fontId="26" fillId="0" borderId="0" xfId="0" applyNumberFormat="1" applyFont="1" applyFill="1" applyBorder="1" applyAlignment="1">
      <alignment horizontal="center" vertical="top" wrapText="1" readingOrder="1"/>
    </xf>
    <xf numFmtId="0" fontId="9" fillId="0" borderId="3" xfId="1" applyFont="1" applyBorder="1" applyAlignment="1">
      <alignment vertical="center"/>
    </xf>
    <xf numFmtId="0" fontId="9" fillId="0" borderId="2" xfId="1" applyFont="1" applyBorder="1" applyAlignment="1">
      <alignment vertical="center"/>
    </xf>
    <xf numFmtId="0" fontId="2" fillId="0" borderId="3" xfId="1" applyFont="1" applyBorder="1" applyAlignment="1">
      <alignment vertical="center"/>
    </xf>
    <xf numFmtId="0" fontId="2" fillId="0" borderId="2" xfId="1" applyFont="1" applyBorder="1" applyAlignment="1">
      <alignment vertical="center"/>
    </xf>
    <xf numFmtId="0" fontId="4" fillId="0" borderId="3" xfId="1" applyFont="1" applyBorder="1" applyAlignment="1" applyProtection="1">
      <alignment vertical="center"/>
      <protection locked="0"/>
    </xf>
    <xf numFmtId="0" fontId="4" fillId="0" borderId="4" xfId="1" applyFont="1" applyBorder="1" applyAlignment="1" applyProtection="1">
      <alignment vertical="center"/>
      <protection locked="0"/>
    </xf>
    <xf numFmtId="0" fontId="4" fillId="0" borderId="2" xfId="1" applyFont="1" applyBorder="1" applyAlignment="1" applyProtection="1">
      <alignment vertical="center"/>
      <protection locked="0"/>
    </xf>
    <xf numFmtId="0" fontId="6" fillId="0" borderId="5" xfId="1" applyFont="1" applyBorder="1" applyAlignment="1">
      <alignment horizontal="center"/>
    </xf>
  </cellXfs>
  <cellStyles count="2">
    <cellStyle name="Normal" xfId="0" builtinId="0"/>
    <cellStyle name="Normal_דיווח שעות ריק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323850</xdr:colOff>
          <xdr:row>6</xdr:row>
          <xdr:rowOff>85725</xdr:rowOff>
        </xdr:from>
        <xdr:to>
          <xdr:col>33</xdr:col>
          <xdr:colOff>809625</xdr:colOff>
          <xdr:row>9</xdr:row>
          <xdr:rowOff>28575</xdr:rowOff>
        </xdr:to>
        <xdr:sp macro="" textlink="">
          <xdr:nvSpPr>
            <xdr:cNvPr id="43309" name="CommandButton1" hidden="1">
              <a:extLst>
                <a:ext uri="{63B3BB69-23CF-44E3-9099-C40C66FF867C}">
                  <a14:compatExt spid="_x0000_s43309"/>
                </a:ext>
                <a:ext uri="{FF2B5EF4-FFF2-40B4-BE49-F238E27FC236}">
                  <a16:creationId xmlns:a16="http://schemas.microsoft.com/office/drawing/2014/main" id="{00000000-0008-0000-0000-00002DA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342900</xdr:colOff>
          <xdr:row>13</xdr:row>
          <xdr:rowOff>0</xdr:rowOff>
        </xdr:from>
        <xdr:to>
          <xdr:col>34</xdr:col>
          <xdr:colOff>19050</xdr:colOff>
          <xdr:row>15</xdr:row>
          <xdr:rowOff>104775</xdr:rowOff>
        </xdr:to>
        <xdr:sp macro="" textlink="">
          <xdr:nvSpPr>
            <xdr:cNvPr id="43311" name="CommandButton2" hidden="1">
              <a:extLst>
                <a:ext uri="{63B3BB69-23CF-44E3-9099-C40C66FF867C}">
                  <a14:compatExt spid="_x0000_s43311"/>
                </a:ext>
                <a:ext uri="{FF2B5EF4-FFF2-40B4-BE49-F238E27FC236}">
                  <a16:creationId xmlns:a16="http://schemas.microsoft.com/office/drawing/2014/main" id="{00000000-0008-0000-0000-00002FA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352425</xdr:colOff>
          <xdr:row>9</xdr:row>
          <xdr:rowOff>142875</xdr:rowOff>
        </xdr:from>
        <xdr:to>
          <xdr:col>33</xdr:col>
          <xdr:colOff>723900</xdr:colOff>
          <xdr:row>12</xdr:row>
          <xdr:rowOff>57150</xdr:rowOff>
        </xdr:to>
        <xdr:sp macro="" textlink="">
          <xdr:nvSpPr>
            <xdr:cNvPr id="43312" name="CommandButton3" hidden="1">
              <a:extLst>
                <a:ext uri="{63B3BB69-23CF-44E3-9099-C40C66FF867C}">
                  <a14:compatExt spid="_x0000_s43312"/>
                </a:ext>
                <a:ext uri="{FF2B5EF4-FFF2-40B4-BE49-F238E27FC236}">
                  <a16:creationId xmlns:a16="http://schemas.microsoft.com/office/drawing/2014/main" id="{00000000-0008-0000-0000-000030A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285750</xdr:colOff>
      <xdr:row>0</xdr:row>
      <xdr:rowOff>501850</xdr:rowOff>
    </xdr:from>
    <xdr:to>
      <xdr:col>14</xdr:col>
      <xdr:colOff>197643</xdr:colOff>
      <xdr:row>0</xdr:row>
      <xdr:rowOff>3105152</xdr:rowOff>
    </xdr:to>
    <xdr:pic>
      <xdr:nvPicPr>
        <xdr:cNvPr id="5" name="תמונה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3057013" y="501850"/>
          <a:ext cx="8674893" cy="2603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14">
    <pageSetUpPr fitToPage="1"/>
  </sheetPr>
  <dimension ref="A1:AK46"/>
  <sheetViews>
    <sheetView rightToLeft="1" tabSelected="1" zoomScale="80" zoomScaleNormal="80" workbookViewId="0">
      <selection activeCell="P36" sqref="P36"/>
    </sheetView>
  </sheetViews>
  <sheetFormatPr defaultRowHeight="12.75" x14ac:dyDescent="0.2"/>
  <cols>
    <col min="1" max="1" width="13.28515625" style="40" bestFit="1" customWidth="1"/>
    <col min="2" max="2" width="3.85546875" style="40" bestFit="1" customWidth="1"/>
    <col min="3" max="3" width="8.28515625" style="40" customWidth="1"/>
    <col min="4" max="4" width="10.85546875" style="40" bestFit="1" customWidth="1"/>
    <col min="5" max="5" width="11.7109375" style="40" customWidth="1"/>
    <col min="6" max="6" width="12.42578125" style="40" bestFit="1" customWidth="1"/>
    <col min="7" max="7" width="9.28515625" style="40" bestFit="1" customWidth="1"/>
    <col min="8" max="8" width="8.85546875" style="40" customWidth="1"/>
    <col min="9" max="9" width="9.140625" style="40"/>
    <col min="10" max="10" width="7.140625" style="40" bestFit="1" customWidth="1"/>
    <col min="11" max="19" width="9.140625" style="40"/>
    <col min="20" max="20" width="13.28515625" style="40" bestFit="1" customWidth="1"/>
    <col min="21" max="21" width="16.140625" style="40" bestFit="1" customWidth="1"/>
    <col min="22" max="24" width="13.28515625" style="40" customWidth="1"/>
    <col min="25" max="25" width="10.85546875" style="40" bestFit="1" customWidth="1"/>
    <col min="26" max="26" width="10.7109375" style="42" bestFit="1" customWidth="1"/>
    <col min="27" max="27" width="7.85546875" style="42" bestFit="1" customWidth="1"/>
    <col min="28" max="31" width="13.28515625" style="40" customWidth="1"/>
    <col min="32" max="33" width="9.140625" style="40"/>
    <col min="34" max="34" width="12.5703125" style="40" customWidth="1"/>
    <col min="35" max="35" width="15.85546875" style="40" customWidth="1"/>
    <col min="36" max="36" width="9.85546875" style="40" customWidth="1"/>
    <col min="37" max="37" width="9.140625" style="40"/>
  </cols>
  <sheetData>
    <row r="1" spans="1:31" ht="283.5" customHeight="1" thickBot="1" x14ac:dyDescent="0.25"/>
    <row r="2" spans="1:31" ht="39.75" thickTop="1" thickBot="1" x14ac:dyDescent="0.25">
      <c r="A2" s="98" t="s">
        <v>34</v>
      </c>
      <c r="B2" s="99" t="s">
        <v>29</v>
      </c>
      <c r="C2" s="99" t="s">
        <v>35</v>
      </c>
      <c r="D2" s="99" t="s">
        <v>36</v>
      </c>
      <c r="E2" s="99" t="s">
        <v>37</v>
      </c>
      <c r="F2" s="99" t="s">
        <v>38</v>
      </c>
      <c r="G2" s="99" t="s">
        <v>39</v>
      </c>
      <c r="H2" s="99" t="s">
        <v>40</v>
      </c>
      <c r="I2" s="99" t="s">
        <v>41</v>
      </c>
      <c r="J2" s="99" t="s">
        <v>42</v>
      </c>
      <c r="K2" s="99" t="s">
        <v>43</v>
      </c>
      <c r="L2" s="99" t="s">
        <v>44</v>
      </c>
      <c r="M2" s="99" t="s">
        <v>45</v>
      </c>
      <c r="N2" s="99" t="s">
        <v>46</v>
      </c>
      <c r="O2" s="100" t="s">
        <v>47</v>
      </c>
      <c r="T2" s="48" t="s">
        <v>28</v>
      </c>
      <c r="U2" s="48" t="s">
        <v>49</v>
      </c>
      <c r="V2" s="48" t="s">
        <v>0</v>
      </c>
      <c r="W2" s="49" t="s">
        <v>29</v>
      </c>
      <c r="X2" s="48" t="s">
        <v>12</v>
      </c>
      <c r="Y2" s="50" t="s">
        <v>30</v>
      </c>
      <c r="Z2" s="50" t="s">
        <v>31</v>
      </c>
      <c r="AA2" s="50" t="s">
        <v>32</v>
      </c>
      <c r="AB2" s="48" t="s">
        <v>37</v>
      </c>
      <c r="AC2" s="48" t="s">
        <v>42</v>
      </c>
      <c r="AD2" s="75"/>
      <c r="AE2" s="75"/>
    </row>
    <row r="3" spans="1:31" ht="13.5" thickBot="1" x14ac:dyDescent="0.25">
      <c r="A3" s="101"/>
      <c r="B3" s="102" t="s">
        <v>66</v>
      </c>
      <c r="C3" s="102" t="s">
        <v>16</v>
      </c>
      <c r="D3" s="102" t="s">
        <v>67</v>
      </c>
      <c r="E3" s="103"/>
      <c r="F3" s="104" t="s">
        <v>99</v>
      </c>
      <c r="G3" s="104" t="s">
        <v>97</v>
      </c>
      <c r="H3" s="102"/>
      <c r="I3" s="102"/>
      <c r="J3" s="105" t="s">
        <v>102</v>
      </c>
      <c r="K3" s="104"/>
      <c r="L3" s="106"/>
      <c r="M3" s="104"/>
      <c r="N3" s="106"/>
      <c r="O3" s="107"/>
      <c r="R3" s="57"/>
      <c r="T3" s="39">
        <f ca="1">DATE(YEAR(TODAY()),MONTH(TODAY()),DAY(B3))</f>
        <v>44743</v>
      </c>
      <c r="U3" s="58">
        <f ca="1">DATE(YEAR(T3),MONTH(T3),DAY(T3))</f>
        <v>44743</v>
      </c>
      <c r="V3" s="59">
        <f t="shared" ref="V3:V11" ca="1" si="0">YEAR(T3)</f>
        <v>2022</v>
      </c>
      <c r="W3" s="45" t="str">
        <f t="shared" ref="W3:W11" ca="1" si="1">TEXT(T3,"dddd")</f>
        <v>Friday</v>
      </c>
      <c r="X3" s="39" t="str">
        <f ca="1">T3&amp;COUNTIF($T$3:T3,T3)</f>
        <v>447431</v>
      </c>
      <c r="Y3" s="97" t="str">
        <f t="shared" ref="Y3:Y40" si="2">IFERROR(SUBSTITUTE(F3,".",":",1),0)</f>
        <v>7:39</v>
      </c>
      <c r="Z3" s="41" t="str">
        <f t="shared" ref="Z3:Z40" si="3">IFERROR(SUBSTITUTE(G3,".",":",1),0)</f>
        <v>17:08</v>
      </c>
      <c r="AA3" s="41">
        <f>IFERROR(24*(Z3-Y3),0)</f>
        <v>9.4833333333333325</v>
      </c>
      <c r="AB3" s="54">
        <f t="shared" ref="AB3:AB40" si="4">IFERROR(E3,0)</f>
        <v>0</v>
      </c>
      <c r="AC3" s="82" t="str">
        <f>J3</f>
        <v>9.29</v>
      </c>
      <c r="AD3" s="75"/>
      <c r="AE3" s="75"/>
    </row>
    <row r="4" spans="1:31" ht="13.5" thickBot="1" x14ac:dyDescent="0.25">
      <c r="A4" s="101"/>
      <c r="B4" s="102" t="s">
        <v>67</v>
      </c>
      <c r="C4" s="108" t="s">
        <v>17</v>
      </c>
      <c r="D4" s="102" t="s">
        <v>67</v>
      </c>
      <c r="E4" s="103"/>
      <c r="F4" s="104" t="s">
        <v>100</v>
      </c>
      <c r="G4" s="104" t="s">
        <v>71</v>
      </c>
      <c r="H4" s="102"/>
      <c r="I4" s="102"/>
      <c r="J4" s="105" t="s">
        <v>105</v>
      </c>
      <c r="K4" s="104"/>
      <c r="L4" s="106"/>
      <c r="M4" s="104"/>
      <c r="N4" s="106"/>
      <c r="O4" s="107"/>
      <c r="T4" s="39">
        <f t="shared" ref="T4:T40" ca="1" si="5">DATE(YEAR(TODAY()),MONTH(TODAY()),DAY(B4))</f>
        <v>44744</v>
      </c>
      <c r="U4" s="58">
        <f t="shared" ref="U4:U40" ca="1" si="6">DATE(YEAR(T4),MONTH(T4),DAY(T4))</f>
        <v>44744</v>
      </c>
      <c r="V4" s="52">
        <f t="shared" ca="1" si="0"/>
        <v>2022</v>
      </c>
      <c r="W4" s="45" t="str">
        <f t="shared" ca="1" si="1"/>
        <v>Saturday</v>
      </c>
      <c r="X4" s="39" t="str">
        <f ca="1">T4&amp;COUNTIF($T$3:T4,T4)</f>
        <v>447441</v>
      </c>
      <c r="Y4" s="97" t="str">
        <f t="shared" si="2"/>
        <v>7:46</v>
      </c>
      <c r="Z4" s="41" t="str">
        <f t="shared" si="3"/>
        <v>17:09</v>
      </c>
      <c r="AA4" s="41">
        <f t="shared" ref="AA4:AA40" si="7">IFERROR(24*(Z4-Y4),0)</f>
        <v>9.3833333333333311</v>
      </c>
      <c r="AB4" s="54">
        <f t="shared" si="4"/>
        <v>0</v>
      </c>
      <c r="AC4" s="82" t="str">
        <f t="shared" ref="AC4:AC40" si="8">J4</f>
        <v>9.23</v>
      </c>
      <c r="AD4" s="75"/>
      <c r="AE4" s="75"/>
    </row>
    <row r="5" spans="1:31" ht="13.5" thickBot="1" x14ac:dyDescent="0.25">
      <c r="A5" s="101"/>
      <c r="B5" s="109" t="s">
        <v>68</v>
      </c>
      <c r="C5" s="109" t="s">
        <v>18</v>
      </c>
      <c r="D5" s="102" t="s">
        <v>67</v>
      </c>
      <c r="E5" s="103"/>
      <c r="F5" s="104" t="s">
        <v>98</v>
      </c>
      <c r="G5" s="104" t="s">
        <v>71</v>
      </c>
      <c r="H5" s="102"/>
      <c r="I5" s="102"/>
      <c r="J5" s="105" t="s">
        <v>102</v>
      </c>
      <c r="K5" s="104"/>
      <c r="L5" s="106"/>
      <c r="M5" s="104"/>
      <c r="N5" s="106"/>
      <c r="O5" s="107"/>
      <c r="T5" s="39">
        <f t="shared" ca="1" si="5"/>
        <v>44745</v>
      </c>
      <c r="U5" s="58">
        <f t="shared" ca="1" si="6"/>
        <v>44745</v>
      </c>
      <c r="V5" s="52">
        <f t="shared" ca="1" si="0"/>
        <v>2022</v>
      </c>
      <c r="W5" s="45" t="str">
        <f t="shared" ca="1" si="1"/>
        <v>Sunday</v>
      </c>
      <c r="X5" s="39" t="str">
        <f ca="1">T5&amp;COUNTIF($T$3:T5,T5)</f>
        <v>447451</v>
      </c>
      <c r="Y5" s="97" t="str">
        <f t="shared" si="2"/>
        <v>7:40</v>
      </c>
      <c r="Z5" s="41" t="str">
        <f t="shared" si="3"/>
        <v>17:09</v>
      </c>
      <c r="AA5" s="41">
        <f t="shared" si="7"/>
        <v>9.4833333333333307</v>
      </c>
      <c r="AB5" s="54">
        <f t="shared" si="4"/>
        <v>0</v>
      </c>
      <c r="AC5" s="82" t="str">
        <f t="shared" si="8"/>
        <v>9.29</v>
      </c>
      <c r="AD5" s="75"/>
      <c r="AE5" s="75"/>
    </row>
    <row r="6" spans="1:31" ht="13.5" thickBot="1" x14ac:dyDescent="0.25">
      <c r="A6" s="110"/>
      <c r="B6" s="111" t="s">
        <v>69</v>
      </c>
      <c r="C6" s="111" t="s">
        <v>19</v>
      </c>
      <c r="D6" s="112" t="s">
        <v>67</v>
      </c>
      <c r="E6" s="103"/>
      <c r="F6" s="113" t="s">
        <v>103</v>
      </c>
      <c r="G6" s="113" t="s">
        <v>106</v>
      </c>
      <c r="H6" s="112"/>
      <c r="I6" s="112"/>
      <c r="J6" s="114" t="s">
        <v>105</v>
      </c>
      <c r="K6" s="113"/>
      <c r="L6" s="115"/>
      <c r="M6" s="113"/>
      <c r="N6" s="115"/>
      <c r="O6" s="116"/>
      <c r="T6" s="39">
        <f t="shared" ca="1" si="5"/>
        <v>44746</v>
      </c>
      <c r="U6" s="58">
        <f t="shared" ca="1" si="6"/>
        <v>44746</v>
      </c>
      <c r="V6" s="52">
        <f t="shared" ca="1" si="0"/>
        <v>2022</v>
      </c>
      <c r="W6" s="45" t="str">
        <f t="shared" ca="1" si="1"/>
        <v>Monday</v>
      </c>
      <c r="X6" s="39" t="str">
        <f ca="1">T6&amp;COUNTIF($T$3:T6,T6)</f>
        <v>447461</v>
      </c>
      <c r="Y6" s="97" t="str">
        <f t="shared" si="2"/>
        <v>7:48</v>
      </c>
      <c r="Z6" s="41" t="str">
        <f t="shared" si="3"/>
        <v>17:11</v>
      </c>
      <c r="AA6" s="41">
        <f t="shared" si="7"/>
        <v>9.3833333333333329</v>
      </c>
      <c r="AB6" s="54">
        <f t="shared" si="4"/>
        <v>0</v>
      </c>
      <c r="AC6" s="82" t="str">
        <f t="shared" si="8"/>
        <v>9.23</v>
      </c>
      <c r="AD6" s="75"/>
      <c r="AE6" s="75"/>
    </row>
    <row r="7" spans="1:31" ht="13.5" thickBot="1" x14ac:dyDescent="0.25">
      <c r="A7" s="101"/>
      <c r="B7" s="102" t="s">
        <v>70</v>
      </c>
      <c r="C7" s="102" t="s">
        <v>20</v>
      </c>
      <c r="D7" s="102" t="s">
        <v>66</v>
      </c>
      <c r="E7" s="103"/>
      <c r="F7" s="104" t="s">
        <v>108</v>
      </c>
      <c r="G7" s="104" t="s">
        <v>109</v>
      </c>
      <c r="H7" s="102"/>
      <c r="I7" s="102"/>
      <c r="J7" s="105"/>
      <c r="K7" s="104"/>
      <c r="L7" s="106"/>
      <c r="M7" s="104"/>
      <c r="N7" s="106"/>
      <c r="O7" s="107"/>
      <c r="T7" s="39">
        <f t="shared" ca="1" si="5"/>
        <v>44747</v>
      </c>
      <c r="U7" s="58">
        <f t="shared" ca="1" si="6"/>
        <v>44747</v>
      </c>
      <c r="V7" s="52">
        <f t="shared" ca="1" si="0"/>
        <v>2022</v>
      </c>
      <c r="W7" s="45" t="str">
        <f t="shared" ca="1" si="1"/>
        <v>Tuesday</v>
      </c>
      <c r="X7" s="39" t="str">
        <f ca="1">T7&amp;COUNTIF($T$3:T7,T7)</f>
        <v>447471</v>
      </c>
      <c r="Y7" s="97" t="str">
        <f t="shared" si="2"/>
        <v>7:41</v>
      </c>
      <c r="Z7" s="41" t="str">
        <f t="shared" si="3"/>
        <v>16:39</v>
      </c>
      <c r="AA7" s="41">
        <f t="shared" si="7"/>
        <v>8.966666666666665</v>
      </c>
      <c r="AB7" s="54">
        <f t="shared" si="4"/>
        <v>0</v>
      </c>
      <c r="AC7" s="82">
        <f t="shared" si="8"/>
        <v>0</v>
      </c>
      <c r="AD7" s="75"/>
      <c r="AE7" s="75"/>
    </row>
    <row r="8" spans="1:31" ht="13.5" thickBot="1" x14ac:dyDescent="0.25">
      <c r="A8" s="101"/>
      <c r="B8" s="102" t="s">
        <v>72</v>
      </c>
      <c r="C8" s="102" t="s">
        <v>21</v>
      </c>
      <c r="D8" s="102" t="s">
        <v>66</v>
      </c>
      <c r="E8" s="103"/>
      <c r="F8" s="104"/>
      <c r="G8" s="104"/>
      <c r="H8" s="102"/>
      <c r="I8" s="102"/>
      <c r="J8" s="105"/>
      <c r="K8" s="104"/>
      <c r="L8" s="106"/>
      <c r="M8" s="104"/>
      <c r="N8" s="106"/>
      <c r="O8" s="107"/>
      <c r="T8" s="39">
        <f t="shared" ca="1" si="5"/>
        <v>44748</v>
      </c>
      <c r="U8" s="58">
        <f t="shared" ca="1" si="6"/>
        <v>44748</v>
      </c>
      <c r="V8" s="52">
        <f t="shared" ca="1" si="0"/>
        <v>2022</v>
      </c>
      <c r="W8" s="45" t="str">
        <f t="shared" ca="1" si="1"/>
        <v>Wednesday</v>
      </c>
      <c r="X8" s="39" t="str">
        <f ca="1">T8&amp;COUNTIF($T$3:T8,T8)</f>
        <v>447481</v>
      </c>
      <c r="Y8" s="97" t="str">
        <f t="shared" si="2"/>
        <v/>
      </c>
      <c r="Z8" s="41" t="str">
        <f t="shared" si="3"/>
        <v/>
      </c>
      <c r="AA8" s="41">
        <f t="shared" si="7"/>
        <v>0</v>
      </c>
      <c r="AB8" s="54">
        <f t="shared" si="4"/>
        <v>0</v>
      </c>
      <c r="AC8" s="82">
        <f t="shared" si="8"/>
        <v>0</v>
      </c>
      <c r="AD8" s="75"/>
      <c r="AE8" s="75"/>
    </row>
    <row r="9" spans="1:31" ht="13.5" thickBot="1" x14ac:dyDescent="0.25">
      <c r="A9" s="101"/>
      <c r="B9" s="102" t="s">
        <v>73</v>
      </c>
      <c r="C9" s="102" t="s">
        <v>14</v>
      </c>
      <c r="D9" s="102" t="s">
        <v>66</v>
      </c>
      <c r="E9" s="103"/>
      <c r="F9" s="104"/>
      <c r="G9" s="104"/>
      <c r="H9" s="102"/>
      <c r="I9" s="102"/>
      <c r="J9" s="105"/>
      <c r="K9" s="104"/>
      <c r="L9" s="106"/>
      <c r="M9" s="104"/>
      <c r="N9" s="106"/>
      <c r="O9" s="107"/>
      <c r="T9" s="39">
        <f t="shared" ca="1" si="5"/>
        <v>44749</v>
      </c>
      <c r="U9" s="58">
        <f t="shared" ca="1" si="6"/>
        <v>44749</v>
      </c>
      <c r="V9" s="52">
        <f t="shared" ca="1" si="0"/>
        <v>2022</v>
      </c>
      <c r="W9" s="45" t="str">
        <f t="shared" ca="1" si="1"/>
        <v>Thursday</v>
      </c>
      <c r="X9" s="39" t="str">
        <f ca="1">T9&amp;COUNTIF($T$3:T9,T9)</f>
        <v>447491</v>
      </c>
      <c r="Y9" s="97" t="str">
        <f t="shared" si="2"/>
        <v/>
      </c>
      <c r="Z9" s="41" t="str">
        <f t="shared" si="3"/>
        <v/>
      </c>
      <c r="AA9" s="41">
        <f t="shared" si="7"/>
        <v>0</v>
      </c>
      <c r="AB9" s="54">
        <f t="shared" si="4"/>
        <v>0</v>
      </c>
      <c r="AC9" s="82">
        <f t="shared" si="8"/>
        <v>0</v>
      </c>
      <c r="AD9" s="75"/>
      <c r="AE9" s="75"/>
    </row>
    <row r="10" spans="1:31" ht="13.5" thickBot="1" x14ac:dyDescent="0.25">
      <c r="A10" s="101" t="s">
        <v>33</v>
      </c>
      <c r="B10" s="102" t="s">
        <v>73</v>
      </c>
      <c r="C10" s="102"/>
      <c r="D10" s="102" t="s">
        <v>66</v>
      </c>
      <c r="E10" s="103"/>
      <c r="F10" s="104"/>
      <c r="G10" s="104"/>
      <c r="H10" s="102"/>
      <c r="I10" s="102"/>
      <c r="J10" s="105" t="s">
        <v>107</v>
      </c>
      <c r="K10" s="104"/>
      <c r="L10" s="106"/>
      <c r="M10" s="104"/>
      <c r="N10" s="106"/>
      <c r="O10" s="107"/>
      <c r="T10" s="39">
        <f t="shared" ca="1" si="5"/>
        <v>44749</v>
      </c>
      <c r="U10" s="58">
        <f t="shared" ca="1" si="6"/>
        <v>44749</v>
      </c>
      <c r="V10" s="52">
        <f t="shared" ca="1" si="0"/>
        <v>2022</v>
      </c>
      <c r="W10" s="45" t="str">
        <f t="shared" ca="1" si="1"/>
        <v>Thursday</v>
      </c>
      <c r="X10" s="39" t="str">
        <f ca="1">T10&amp;COUNTIF($T$3:T10,T10)</f>
        <v>447492</v>
      </c>
      <c r="Y10" s="97" t="str">
        <f t="shared" si="2"/>
        <v/>
      </c>
      <c r="Z10" s="41" t="str">
        <f t="shared" si="3"/>
        <v/>
      </c>
      <c r="AA10" s="41">
        <f t="shared" si="7"/>
        <v>0</v>
      </c>
      <c r="AB10" s="54">
        <f t="shared" si="4"/>
        <v>0</v>
      </c>
      <c r="AC10" s="82" t="str">
        <f t="shared" si="8"/>
        <v>37.44</v>
      </c>
      <c r="AD10" s="75"/>
      <c r="AE10" s="75"/>
    </row>
    <row r="11" spans="1:31" ht="13.5" thickBot="1" x14ac:dyDescent="0.25">
      <c r="A11" s="101"/>
      <c r="B11" s="102" t="s">
        <v>74</v>
      </c>
      <c r="C11" s="102" t="s">
        <v>16</v>
      </c>
      <c r="D11" s="102" t="s">
        <v>66</v>
      </c>
      <c r="E11" s="103"/>
      <c r="F11" s="104" t="s">
        <v>110</v>
      </c>
      <c r="G11" s="104" t="s">
        <v>71</v>
      </c>
      <c r="H11" s="102"/>
      <c r="I11" s="102"/>
      <c r="J11" s="105"/>
      <c r="K11" s="104"/>
      <c r="L11" s="106"/>
      <c r="M11" s="104"/>
      <c r="N11" s="106"/>
      <c r="O11" s="107"/>
      <c r="T11" s="39">
        <f t="shared" ca="1" si="5"/>
        <v>44750</v>
      </c>
      <c r="U11" s="58">
        <f t="shared" ca="1" si="6"/>
        <v>44750</v>
      </c>
      <c r="V11" s="52">
        <f t="shared" ca="1" si="0"/>
        <v>2022</v>
      </c>
      <c r="W11" s="45" t="str">
        <f t="shared" ca="1" si="1"/>
        <v>Friday</v>
      </c>
      <c r="X11" s="39" t="str">
        <f ca="1">T11&amp;COUNTIF($T$3:T11,T11)</f>
        <v>447501</v>
      </c>
      <c r="Y11" s="97" t="str">
        <f t="shared" si="2"/>
        <v>7:53</v>
      </c>
      <c r="Z11" s="41" t="str">
        <f t="shared" si="3"/>
        <v>17:09</v>
      </c>
      <c r="AA11" s="41">
        <f t="shared" si="7"/>
        <v>9.2666666666666639</v>
      </c>
      <c r="AB11" s="54">
        <f t="shared" si="4"/>
        <v>0</v>
      </c>
      <c r="AC11" s="82">
        <f t="shared" si="8"/>
        <v>0</v>
      </c>
      <c r="AD11" s="75"/>
      <c r="AE11" s="75"/>
    </row>
    <row r="12" spans="1:31" ht="13.5" thickBot="1" x14ac:dyDescent="0.25">
      <c r="A12" s="101"/>
      <c r="B12" s="102" t="s">
        <v>75</v>
      </c>
      <c r="C12" s="108" t="s">
        <v>17</v>
      </c>
      <c r="D12" s="102" t="s">
        <v>66</v>
      </c>
      <c r="E12" s="103"/>
      <c r="F12" s="104" t="s">
        <v>103</v>
      </c>
      <c r="G12" s="104" t="s">
        <v>71</v>
      </c>
      <c r="H12" s="102"/>
      <c r="I12" s="102"/>
      <c r="J12" s="105"/>
      <c r="K12" s="104"/>
      <c r="L12" s="106"/>
      <c r="M12" s="104"/>
      <c r="N12" s="106"/>
      <c r="O12" s="107"/>
      <c r="T12" s="39">
        <f t="shared" ca="1" si="5"/>
        <v>44751</v>
      </c>
      <c r="U12" s="58">
        <f t="shared" ca="1" si="6"/>
        <v>44751</v>
      </c>
      <c r="V12" s="52">
        <f t="shared" ref="V12:V40" ca="1" si="9">YEAR(T12)</f>
        <v>2022</v>
      </c>
      <c r="W12" s="45" t="str">
        <f t="shared" ref="W12:W40" ca="1" si="10">TEXT(T12,"dddd")</f>
        <v>Saturday</v>
      </c>
      <c r="X12" s="39" t="str">
        <f ca="1">T12&amp;COUNTIF($T$3:T12,T12)</f>
        <v>447511</v>
      </c>
      <c r="Y12" s="97" t="str">
        <f t="shared" si="2"/>
        <v>7:48</v>
      </c>
      <c r="Z12" s="41" t="str">
        <f t="shared" si="3"/>
        <v>17:09</v>
      </c>
      <c r="AA12" s="41">
        <f t="shared" si="7"/>
        <v>9.3499999999999979</v>
      </c>
      <c r="AB12" s="54">
        <f t="shared" si="4"/>
        <v>0</v>
      </c>
      <c r="AC12" s="82">
        <f t="shared" si="8"/>
        <v>0</v>
      </c>
      <c r="AD12" s="75"/>
      <c r="AE12" s="75"/>
    </row>
    <row r="13" spans="1:31" ht="13.5" thickBot="1" x14ac:dyDescent="0.25">
      <c r="A13" s="101"/>
      <c r="B13" s="109" t="s">
        <v>76</v>
      </c>
      <c r="C13" s="109" t="s">
        <v>18</v>
      </c>
      <c r="D13" s="102" t="s">
        <v>66</v>
      </c>
      <c r="E13" s="103"/>
      <c r="F13" s="104" t="s">
        <v>111</v>
      </c>
      <c r="G13" s="104" t="s">
        <v>71</v>
      </c>
      <c r="H13" s="102"/>
      <c r="I13" s="102"/>
      <c r="J13" s="105"/>
      <c r="K13" s="104"/>
      <c r="L13" s="106"/>
      <c r="M13" s="104"/>
      <c r="N13" s="106"/>
      <c r="O13" s="107"/>
      <c r="T13" s="39">
        <f t="shared" ca="1" si="5"/>
        <v>44752</v>
      </c>
      <c r="U13" s="58">
        <f t="shared" ca="1" si="6"/>
        <v>44752</v>
      </c>
      <c r="V13" s="52">
        <f t="shared" ca="1" si="9"/>
        <v>2022</v>
      </c>
      <c r="W13" s="45" t="str">
        <f t="shared" ca="1" si="10"/>
        <v>Sunday</v>
      </c>
      <c r="X13" s="39" t="str">
        <f ca="1">T13&amp;COUNTIF($T$3:T13,T13)</f>
        <v>447521</v>
      </c>
      <c r="Y13" s="97" t="str">
        <f t="shared" si="2"/>
        <v>7:47</v>
      </c>
      <c r="Z13" s="41" t="str">
        <f t="shared" si="3"/>
        <v>17:09</v>
      </c>
      <c r="AA13" s="41">
        <f t="shared" si="7"/>
        <v>9.3666666666666636</v>
      </c>
      <c r="AB13" s="54">
        <f t="shared" si="4"/>
        <v>0</v>
      </c>
      <c r="AC13" s="82">
        <f t="shared" si="8"/>
        <v>0</v>
      </c>
      <c r="AD13" s="75"/>
      <c r="AE13" s="75"/>
    </row>
    <row r="14" spans="1:31" ht="13.5" thickBot="1" x14ac:dyDescent="0.25">
      <c r="A14" s="110"/>
      <c r="B14" s="111" t="s">
        <v>77</v>
      </c>
      <c r="C14" s="111" t="s">
        <v>19</v>
      </c>
      <c r="D14" s="112" t="s">
        <v>66</v>
      </c>
      <c r="E14" s="103"/>
      <c r="F14" s="113" t="s">
        <v>112</v>
      </c>
      <c r="G14" s="113" t="s">
        <v>113</v>
      </c>
      <c r="H14" s="112"/>
      <c r="I14" s="112"/>
      <c r="J14" s="114"/>
      <c r="K14" s="113"/>
      <c r="L14" s="115"/>
      <c r="M14" s="113"/>
      <c r="N14" s="115"/>
      <c r="O14" s="116"/>
      <c r="T14" s="39">
        <f t="shared" ca="1" si="5"/>
        <v>44753</v>
      </c>
      <c r="U14" s="58">
        <f t="shared" ca="1" si="6"/>
        <v>44753</v>
      </c>
      <c r="V14" s="52">
        <f t="shared" ca="1" si="9"/>
        <v>2022</v>
      </c>
      <c r="W14" s="45" t="str">
        <f t="shared" ca="1" si="10"/>
        <v>Monday</v>
      </c>
      <c r="X14" s="39" t="str">
        <f ca="1">T14&amp;COUNTIF($T$3:T14,T14)</f>
        <v>447531</v>
      </c>
      <c r="Y14" s="97" t="str">
        <f t="shared" si="2"/>
        <v>7:51</v>
      </c>
      <c r="Z14" s="41" t="str">
        <f t="shared" si="3"/>
        <v>17:00</v>
      </c>
      <c r="AA14" s="41">
        <f t="shared" si="7"/>
        <v>9.15</v>
      </c>
      <c r="AB14" s="54">
        <f t="shared" si="4"/>
        <v>0</v>
      </c>
      <c r="AC14" s="82">
        <f t="shared" si="8"/>
        <v>0</v>
      </c>
      <c r="AD14" s="75"/>
      <c r="AE14" s="75"/>
    </row>
    <row r="15" spans="1:31" ht="13.5" thickBot="1" x14ac:dyDescent="0.25">
      <c r="A15" s="101"/>
      <c r="B15" s="102" t="s">
        <v>78</v>
      </c>
      <c r="C15" s="102" t="s">
        <v>20</v>
      </c>
      <c r="D15" s="102" t="s">
        <v>66</v>
      </c>
      <c r="E15" s="103"/>
      <c r="F15" s="104"/>
      <c r="G15" s="104"/>
      <c r="H15" s="102"/>
      <c r="I15" s="102"/>
      <c r="J15" s="105"/>
      <c r="K15" s="104"/>
      <c r="L15" s="106"/>
      <c r="M15" s="104"/>
      <c r="N15" s="106"/>
      <c r="O15" s="107"/>
      <c r="T15" s="39">
        <f t="shared" ca="1" si="5"/>
        <v>44754</v>
      </c>
      <c r="U15" s="58">
        <f t="shared" ca="1" si="6"/>
        <v>44754</v>
      </c>
      <c r="V15" s="52">
        <f t="shared" ca="1" si="9"/>
        <v>2022</v>
      </c>
      <c r="W15" s="45" t="str">
        <f t="shared" ca="1" si="10"/>
        <v>Tuesday</v>
      </c>
      <c r="X15" s="39" t="str">
        <f ca="1">T15&amp;COUNTIF($T$3:T15,T15)</f>
        <v>447541</v>
      </c>
      <c r="Y15" s="97" t="str">
        <f t="shared" si="2"/>
        <v/>
      </c>
      <c r="Z15" s="41" t="str">
        <f t="shared" si="3"/>
        <v/>
      </c>
      <c r="AA15" s="41">
        <f t="shared" si="7"/>
        <v>0</v>
      </c>
      <c r="AB15" s="54">
        <f t="shared" si="4"/>
        <v>0</v>
      </c>
      <c r="AC15" s="82">
        <f t="shared" si="8"/>
        <v>0</v>
      </c>
      <c r="AD15" s="75"/>
      <c r="AE15" s="75"/>
    </row>
    <row r="16" spans="1:31" ht="13.5" thickBot="1" x14ac:dyDescent="0.25">
      <c r="A16" s="101"/>
      <c r="B16" s="102" t="s">
        <v>79</v>
      </c>
      <c r="C16" s="102" t="s">
        <v>21</v>
      </c>
      <c r="D16" s="102" t="s">
        <v>66</v>
      </c>
      <c r="E16" s="103"/>
      <c r="F16" s="104"/>
      <c r="G16" s="104"/>
      <c r="H16" s="102"/>
      <c r="I16" s="102"/>
      <c r="J16" s="105"/>
      <c r="K16" s="104"/>
      <c r="L16" s="106"/>
      <c r="M16" s="104"/>
      <c r="N16" s="106"/>
      <c r="O16" s="107"/>
      <c r="T16" s="39">
        <f t="shared" ca="1" si="5"/>
        <v>44755</v>
      </c>
      <c r="U16" s="58">
        <f t="shared" ca="1" si="6"/>
        <v>44755</v>
      </c>
      <c r="V16" s="52">
        <f t="shared" ca="1" si="9"/>
        <v>2022</v>
      </c>
      <c r="W16" s="45" t="str">
        <f t="shared" ca="1" si="10"/>
        <v>Wednesday</v>
      </c>
      <c r="X16" s="39" t="str">
        <f ca="1">T16&amp;COUNTIF($T$3:T16,T16)</f>
        <v>447551</v>
      </c>
      <c r="Y16" s="97" t="str">
        <f t="shared" si="2"/>
        <v/>
      </c>
      <c r="Z16" s="41" t="str">
        <f t="shared" si="3"/>
        <v/>
      </c>
      <c r="AA16" s="41">
        <f t="shared" si="7"/>
        <v>0</v>
      </c>
      <c r="AB16" s="54">
        <f t="shared" si="4"/>
        <v>0</v>
      </c>
      <c r="AC16" s="82">
        <f t="shared" si="8"/>
        <v>0</v>
      </c>
      <c r="AD16" s="75"/>
      <c r="AE16" s="75"/>
    </row>
    <row r="17" spans="1:31" ht="13.5" thickBot="1" x14ac:dyDescent="0.25">
      <c r="A17" s="101"/>
      <c r="B17" s="102" t="s">
        <v>80</v>
      </c>
      <c r="C17" s="102" t="s">
        <v>14</v>
      </c>
      <c r="D17" s="102" t="s">
        <v>66</v>
      </c>
      <c r="E17" s="103"/>
      <c r="F17" s="104"/>
      <c r="G17" s="104"/>
      <c r="H17" s="102"/>
      <c r="I17" s="102"/>
      <c r="J17" s="105"/>
      <c r="K17" s="104"/>
      <c r="L17" s="106"/>
      <c r="M17" s="104"/>
      <c r="N17" s="106"/>
      <c r="O17" s="107"/>
      <c r="T17" s="39">
        <f t="shared" ca="1" si="5"/>
        <v>44756</v>
      </c>
      <c r="U17" s="58">
        <f t="shared" ca="1" si="6"/>
        <v>44756</v>
      </c>
      <c r="V17" s="52">
        <f t="shared" ca="1" si="9"/>
        <v>2022</v>
      </c>
      <c r="W17" s="45" t="str">
        <f t="shared" ca="1" si="10"/>
        <v>Thursday</v>
      </c>
      <c r="X17" s="39" t="str">
        <f ca="1">T17&amp;COUNTIF($T$3:T17,T17)</f>
        <v>447561</v>
      </c>
      <c r="Y17" s="97" t="str">
        <f t="shared" si="2"/>
        <v/>
      </c>
      <c r="Z17" s="41" t="str">
        <f t="shared" si="3"/>
        <v/>
      </c>
      <c r="AA17" s="41">
        <f t="shared" si="7"/>
        <v>0</v>
      </c>
      <c r="AB17" s="54">
        <f t="shared" si="4"/>
        <v>0</v>
      </c>
      <c r="AC17" s="82">
        <f t="shared" si="8"/>
        <v>0</v>
      </c>
      <c r="AD17" s="75"/>
      <c r="AE17" s="75"/>
    </row>
    <row r="18" spans="1:31" ht="13.5" thickBot="1" x14ac:dyDescent="0.25">
      <c r="A18" s="101" t="s">
        <v>33</v>
      </c>
      <c r="B18" s="102" t="s">
        <v>80</v>
      </c>
      <c r="C18" s="102"/>
      <c r="D18" s="102" t="s">
        <v>66</v>
      </c>
      <c r="E18" s="103"/>
      <c r="F18" s="104"/>
      <c r="G18" s="104"/>
      <c r="H18" s="102"/>
      <c r="I18" s="102"/>
      <c r="J18" s="105"/>
      <c r="K18" s="104"/>
      <c r="L18" s="106"/>
      <c r="M18" s="104"/>
      <c r="N18" s="106"/>
      <c r="O18" s="107"/>
      <c r="T18" s="39">
        <f t="shared" ca="1" si="5"/>
        <v>44756</v>
      </c>
      <c r="U18" s="58">
        <f t="shared" ca="1" si="6"/>
        <v>44756</v>
      </c>
      <c r="V18" s="52">
        <f t="shared" ca="1" si="9"/>
        <v>2022</v>
      </c>
      <c r="W18" s="45" t="str">
        <f t="shared" ca="1" si="10"/>
        <v>Thursday</v>
      </c>
      <c r="X18" s="39" t="str">
        <f ca="1">T18&amp;COUNTIF($T$3:T18,T18)</f>
        <v>447562</v>
      </c>
      <c r="Y18" s="97" t="str">
        <f t="shared" si="2"/>
        <v/>
      </c>
      <c r="Z18" s="41" t="str">
        <f t="shared" si="3"/>
        <v/>
      </c>
      <c r="AA18" s="41">
        <f t="shared" si="7"/>
        <v>0</v>
      </c>
      <c r="AB18" s="54">
        <f t="shared" si="4"/>
        <v>0</v>
      </c>
      <c r="AC18" s="82">
        <f t="shared" si="8"/>
        <v>0</v>
      </c>
      <c r="AD18" s="75"/>
      <c r="AE18" s="75"/>
    </row>
    <row r="19" spans="1:31" ht="13.5" thickBot="1" x14ac:dyDescent="0.25">
      <c r="A19" s="101"/>
      <c r="B19" s="102" t="s">
        <v>81</v>
      </c>
      <c r="C19" s="102" t="s">
        <v>16</v>
      </c>
      <c r="D19" s="102" t="s">
        <v>66</v>
      </c>
      <c r="E19" s="103"/>
      <c r="F19" s="104"/>
      <c r="G19" s="104"/>
      <c r="H19" s="102"/>
      <c r="I19" s="102"/>
      <c r="J19" s="105"/>
      <c r="K19" s="104"/>
      <c r="L19" s="106"/>
      <c r="M19" s="104"/>
      <c r="N19" s="106"/>
      <c r="O19" s="107"/>
      <c r="T19" s="39">
        <f t="shared" ca="1" si="5"/>
        <v>44757</v>
      </c>
      <c r="U19" s="58">
        <f t="shared" ca="1" si="6"/>
        <v>44757</v>
      </c>
      <c r="V19" s="52">
        <f t="shared" ca="1" si="9"/>
        <v>2022</v>
      </c>
      <c r="W19" s="45" t="str">
        <f t="shared" ca="1" si="10"/>
        <v>Friday</v>
      </c>
      <c r="X19" s="39" t="str">
        <f ca="1">T19&amp;COUNTIF($T$3:T19,T19)</f>
        <v>447571</v>
      </c>
      <c r="Y19" s="97" t="str">
        <f t="shared" si="2"/>
        <v/>
      </c>
      <c r="Z19" s="41" t="str">
        <f t="shared" si="3"/>
        <v/>
      </c>
      <c r="AA19" s="41">
        <f t="shared" si="7"/>
        <v>0</v>
      </c>
      <c r="AB19" s="54">
        <f t="shared" si="4"/>
        <v>0</v>
      </c>
      <c r="AC19" s="82">
        <f t="shared" si="8"/>
        <v>0</v>
      </c>
      <c r="AD19" s="75"/>
      <c r="AE19" s="75"/>
    </row>
    <row r="20" spans="1:31" ht="13.5" thickBot="1" x14ac:dyDescent="0.25">
      <c r="A20" s="101"/>
      <c r="B20" s="102" t="s">
        <v>82</v>
      </c>
      <c r="C20" s="108" t="s">
        <v>17</v>
      </c>
      <c r="D20" s="102" t="s">
        <v>66</v>
      </c>
      <c r="E20" s="103"/>
      <c r="F20" s="104"/>
      <c r="G20" s="104"/>
      <c r="H20" s="102"/>
      <c r="I20" s="102"/>
      <c r="J20" s="105"/>
      <c r="K20" s="104"/>
      <c r="L20" s="106"/>
      <c r="M20" s="104"/>
      <c r="N20" s="106"/>
      <c r="O20" s="107"/>
      <c r="T20" s="39">
        <f t="shared" ca="1" si="5"/>
        <v>44758</v>
      </c>
      <c r="U20" s="58">
        <f t="shared" ca="1" si="6"/>
        <v>44758</v>
      </c>
      <c r="V20" s="52">
        <f t="shared" ca="1" si="9"/>
        <v>2022</v>
      </c>
      <c r="W20" s="45" t="str">
        <f t="shared" ca="1" si="10"/>
        <v>Saturday</v>
      </c>
      <c r="X20" s="39" t="str">
        <f ca="1">T20&amp;COUNTIF($T$3:T20,T20)</f>
        <v>447581</v>
      </c>
      <c r="Y20" s="97" t="str">
        <f t="shared" si="2"/>
        <v/>
      </c>
      <c r="Z20" s="41" t="str">
        <f t="shared" si="3"/>
        <v/>
      </c>
      <c r="AA20" s="41">
        <f t="shared" si="7"/>
        <v>0</v>
      </c>
      <c r="AB20" s="54">
        <f t="shared" si="4"/>
        <v>0</v>
      </c>
      <c r="AC20" s="82">
        <f t="shared" si="8"/>
        <v>0</v>
      </c>
      <c r="AD20" s="75"/>
      <c r="AE20" s="75"/>
    </row>
    <row r="21" spans="1:31" ht="13.5" thickBot="1" x14ac:dyDescent="0.25">
      <c r="A21" s="101"/>
      <c r="B21" s="109" t="s">
        <v>83</v>
      </c>
      <c r="C21" s="109" t="s">
        <v>18</v>
      </c>
      <c r="D21" s="102" t="s">
        <v>66</v>
      </c>
      <c r="E21" s="103"/>
      <c r="F21" s="104"/>
      <c r="G21" s="104"/>
      <c r="H21" s="102"/>
      <c r="I21" s="102"/>
      <c r="J21" s="105"/>
      <c r="K21" s="104"/>
      <c r="L21" s="106"/>
      <c r="M21" s="104"/>
      <c r="N21" s="106"/>
      <c r="O21" s="107"/>
      <c r="T21" s="39">
        <f t="shared" ca="1" si="5"/>
        <v>44759</v>
      </c>
      <c r="U21" s="58">
        <f t="shared" ca="1" si="6"/>
        <v>44759</v>
      </c>
      <c r="V21" s="52">
        <f t="shared" ca="1" si="9"/>
        <v>2022</v>
      </c>
      <c r="W21" s="45" t="str">
        <f t="shared" ca="1" si="10"/>
        <v>Sunday</v>
      </c>
      <c r="X21" s="39" t="str">
        <f ca="1">T21&amp;COUNTIF($T$3:T21,T21)</f>
        <v>447591</v>
      </c>
      <c r="Y21" s="97" t="str">
        <f t="shared" si="2"/>
        <v/>
      </c>
      <c r="Z21" s="41" t="str">
        <f t="shared" si="3"/>
        <v/>
      </c>
      <c r="AA21" s="41">
        <f t="shared" si="7"/>
        <v>0</v>
      </c>
      <c r="AB21" s="54">
        <f t="shared" si="4"/>
        <v>0</v>
      </c>
      <c r="AC21" s="82">
        <f t="shared" si="8"/>
        <v>0</v>
      </c>
      <c r="AD21" s="75"/>
      <c r="AE21" s="75"/>
    </row>
    <row r="22" spans="1:31" ht="13.5" thickBot="1" x14ac:dyDescent="0.25">
      <c r="A22" s="110"/>
      <c r="B22" s="111" t="s">
        <v>84</v>
      </c>
      <c r="C22" s="111" t="s">
        <v>19</v>
      </c>
      <c r="D22" s="112" t="s">
        <v>66</v>
      </c>
      <c r="E22" s="103"/>
      <c r="F22" s="113"/>
      <c r="G22" s="113"/>
      <c r="H22" s="112"/>
      <c r="I22" s="112"/>
      <c r="J22" s="114"/>
      <c r="K22" s="113"/>
      <c r="L22" s="115"/>
      <c r="M22" s="113"/>
      <c r="N22" s="115"/>
      <c r="O22" s="116"/>
      <c r="T22" s="39">
        <f t="shared" ca="1" si="5"/>
        <v>44760</v>
      </c>
      <c r="U22" s="58">
        <f t="shared" ca="1" si="6"/>
        <v>44760</v>
      </c>
      <c r="V22" s="52">
        <f t="shared" ca="1" si="9"/>
        <v>2022</v>
      </c>
      <c r="W22" s="45" t="str">
        <f t="shared" ca="1" si="10"/>
        <v>Monday</v>
      </c>
      <c r="X22" s="39" t="str">
        <f ca="1">T22&amp;COUNTIF($T$3:T22,T22)</f>
        <v>447601</v>
      </c>
      <c r="Y22" s="97" t="str">
        <f t="shared" si="2"/>
        <v/>
      </c>
      <c r="Z22" s="41" t="str">
        <f t="shared" si="3"/>
        <v/>
      </c>
      <c r="AA22" s="41">
        <f t="shared" si="7"/>
        <v>0</v>
      </c>
      <c r="AB22" s="54">
        <f t="shared" si="4"/>
        <v>0</v>
      </c>
      <c r="AC22" s="82">
        <f t="shared" si="8"/>
        <v>0</v>
      </c>
      <c r="AD22" s="75"/>
      <c r="AE22" s="75"/>
    </row>
    <row r="23" spans="1:31" ht="13.5" thickBot="1" x14ac:dyDescent="0.25">
      <c r="A23" s="101"/>
      <c r="B23" s="102" t="s">
        <v>85</v>
      </c>
      <c r="C23" s="102" t="s">
        <v>20</v>
      </c>
      <c r="D23" s="102" t="s">
        <v>66</v>
      </c>
      <c r="E23" s="103"/>
      <c r="F23" s="104"/>
      <c r="G23" s="104"/>
      <c r="H23" s="102"/>
      <c r="I23" s="102"/>
      <c r="J23" s="105"/>
      <c r="K23" s="104"/>
      <c r="L23" s="106"/>
      <c r="M23" s="104"/>
      <c r="N23" s="106"/>
      <c r="O23" s="107"/>
      <c r="T23" s="39">
        <f t="shared" ca="1" si="5"/>
        <v>44761</v>
      </c>
      <c r="U23" s="58">
        <f t="shared" ca="1" si="6"/>
        <v>44761</v>
      </c>
      <c r="V23" s="52">
        <f t="shared" ca="1" si="9"/>
        <v>2022</v>
      </c>
      <c r="W23" s="45" t="str">
        <f t="shared" ca="1" si="10"/>
        <v>Tuesday</v>
      </c>
      <c r="X23" s="39" t="str">
        <f ca="1">T23&amp;COUNTIF($T$3:T23,T23)</f>
        <v>447611</v>
      </c>
      <c r="Y23" s="97" t="str">
        <f t="shared" si="2"/>
        <v/>
      </c>
      <c r="Z23" s="41" t="str">
        <f t="shared" si="3"/>
        <v/>
      </c>
      <c r="AA23" s="41">
        <f t="shared" si="7"/>
        <v>0</v>
      </c>
      <c r="AB23" s="54">
        <f t="shared" si="4"/>
        <v>0</v>
      </c>
      <c r="AC23" s="82">
        <f t="shared" si="8"/>
        <v>0</v>
      </c>
      <c r="AD23" s="75"/>
      <c r="AE23" s="75"/>
    </row>
    <row r="24" spans="1:31" ht="13.5" thickBot="1" x14ac:dyDescent="0.25">
      <c r="A24" s="101"/>
      <c r="B24" s="102" t="s">
        <v>86</v>
      </c>
      <c r="C24" s="102" t="s">
        <v>21</v>
      </c>
      <c r="D24" s="102" t="s">
        <v>66</v>
      </c>
      <c r="E24" s="103"/>
      <c r="F24" s="104"/>
      <c r="G24" s="104"/>
      <c r="H24" s="102"/>
      <c r="I24" s="102"/>
      <c r="J24" s="105"/>
      <c r="K24" s="104"/>
      <c r="L24" s="106"/>
      <c r="M24" s="104"/>
      <c r="N24" s="106"/>
      <c r="O24" s="107"/>
      <c r="T24" s="39">
        <f t="shared" ca="1" si="5"/>
        <v>44762</v>
      </c>
      <c r="U24" s="58">
        <f t="shared" ca="1" si="6"/>
        <v>44762</v>
      </c>
      <c r="V24" s="52">
        <f t="shared" ca="1" si="9"/>
        <v>2022</v>
      </c>
      <c r="W24" s="45" t="str">
        <f t="shared" ca="1" si="10"/>
        <v>Wednesday</v>
      </c>
      <c r="X24" s="39" t="str">
        <f ca="1">T24&amp;COUNTIF($T$3:T24,T24)</f>
        <v>447621</v>
      </c>
      <c r="Y24" s="97" t="str">
        <f t="shared" si="2"/>
        <v/>
      </c>
      <c r="Z24" s="41" t="str">
        <f t="shared" si="3"/>
        <v/>
      </c>
      <c r="AA24" s="41">
        <f t="shared" si="7"/>
        <v>0</v>
      </c>
      <c r="AB24" s="54">
        <f t="shared" si="4"/>
        <v>0</v>
      </c>
      <c r="AC24" s="82">
        <f t="shared" si="8"/>
        <v>0</v>
      </c>
      <c r="AD24" s="75"/>
      <c r="AE24" s="75"/>
    </row>
    <row r="25" spans="1:31" ht="13.5" thickBot="1" x14ac:dyDescent="0.25">
      <c r="A25" s="101"/>
      <c r="B25" s="102" t="s">
        <v>87</v>
      </c>
      <c r="C25" s="102" t="s">
        <v>14</v>
      </c>
      <c r="D25" s="102" t="s">
        <v>66</v>
      </c>
      <c r="E25" s="103"/>
      <c r="F25" s="104"/>
      <c r="G25" s="104"/>
      <c r="H25" s="102"/>
      <c r="I25" s="102"/>
      <c r="J25" s="105"/>
      <c r="K25" s="104"/>
      <c r="L25" s="106"/>
      <c r="M25" s="104"/>
      <c r="N25" s="106"/>
      <c r="O25" s="107"/>
      <c r="T25" s="39">
        <f t="shared" ca="1" si="5"/>
        <v>44763</v>
      </c>
      <c r="U25" s="58">
        <f t="shared" ca="1" si="6"/>
        <v>44763</v>
      </c>
      <c r="V25" s="52">
        <f t="shared" ca="1" si="9"/>
        <v>2022</v>
      </c>
      <c r="W25" s="45" t="str">
        <f t="shared" ca="1" si="10"/>
        <v>Thursday</v>
      </c>
      <c r="X25" s="39" t="str">
        <f ca="1">T25&amp;COUNTIF($T$3:T25,T25)</f>
        <v>447631</v>
      </c>
      <c r="Y25" s="97" t="str">
        <f t="shared" si="2"/>
        <v/>
      </c>
      <c r="Z25" s="41" t="str">
        <f t="shared" si="3"/>
        <v/>
      </c>
      <c r="AA25" s="41">
        <f t="shared" si="7"/>
        <v>0</v>
      </c>
      <c r="AB25" s="54">
        <f t="shared" si="4"/>
        <v>0</v>
      </c>
      <c r="AC25" s="82">
        <f t="shared" si="8"/>
        <v>0</v>
      </c>
      <c r="AD25" s="75"/>
      <c r="AE25" s="75"/>
    </row>
    <row r="26" spans="1:31" ht="13.5" thickBot="1" x14ac:dyDescent="0.25">
      <c r="A26" s="101" t="s">
        <v>33</v>
      </c>
      <c r="B26" s="102" t="s">
        <v>87</v>
      </c>
      <c r="C26" s="102"/>
      <c r="D26" s="102" t="s">
        <v>66</v>
      </c>
      <c r="E26" s="103"/>
      <c r="F26" s="104"/>
      <c r="G26" s="104"/>
      <c r="H26" s="102"/>
      <c r="I26" s="102"/>
      <c r="J26" s="105"/>
      <c r="K26" s="104"/>
      <c r="L26" s="106"/>
      <c r="M26" s="104"/>
      <c r="N26" s="106"/>
      <c r="O26" s="107"/>
      <c r="T26" s="39">
        <f t="shared" ca="1" si="5"/>
        <v>44763</v>
      </c>
      <c r="U26" s="58">
        <f t="shared" ca="1" si="6"/>
        <v>44763</v>
      </c>
      <c r="V26" s="52">
        <f t="shared" ca="1" si="9"/>
        <v>2022</v>
      </c>
      <c r="W26" s="45" t="str">
        <f t="shared" ca="1" si="10"/>
        <v>Thursday</v>
      </c>
      <c r="X26" s="39" t="str">
        <f ca="1">T26&amp;COUNTIF($T$3:T26,T26)</f>
        <v>447632</v>
      </c>
      <c r="Y26" s="97" t="str">
        <f t="shared" si="2"/>
        <v/>
      </c>
      <c r="Z26" s="41" t="str">
        <f t="shared" si="3"/>
        <v/>
      </c>
      <c r="AA26" s="41">
        <f t="shared" si="7"/>
        <v>0</v>
      </c>
      <c r="AB26" s="54">
        <f t="shared" si="4"/>
        <v>0</v>
      </c>
      <c r="AC26" s="82">
        <f t="shared" si="8"/>
        <v>0</v>
      </c>
      <c r="AD26" s="75"/>
      <c r="AE26" s="75"/>
    </row>
    <row r="27" spans="1:31" ht="13.5" thickBot="1" x14ac:dyDescent="0.25">
      <c r="A27" s="101"/>
      <c r="B27" s="102" t="s">
        <v>88</v>
      </c>
      <c r="C27" s="102" t="s">
        <v>16</v>
      </c>
      <c r="D27" s="102" t="s">
        <v>66</v>
      </c>
      <c r="E27" s="103"/>
      <c r="F27" s="104"/>
      <c r="G27" s="104"/>
      <c r="H27" s="102"/>
      <c r="I27" s="102"/>
      <c r="J27" s="105"/>
      <c r="K27" s="104"/>
      <c r="L27" s="106"/>
      <c r="M27" s="104"/>
      <c r="N27" s="106"/>
      <c r="O27" s="107"/>
      <c r="T27" s="39">
        <f t="shared" ca="1" si="5"/>
        <v>44764</v>
      </c>
      <c r="U27" s="58">
        <f t="shared" ca="1" si="6"/>
        <v>44764</v>
      </c>
      <c r="V27" s="52">
        <f t="shared" ca="1" si="9"/>
        <v>2022</v>
      </c>
      <c r="W27" s="45" t="str">
        <f t="shared" ca="1" si="10"/>
        <v>Friday</v>
      </c>
      <c r="X27" s="39" t="str">
        <f ca="1">T27&amp;COUNTIF($T$3:T27,T27)</f>
        <v>447641</v>
      </c>
      <c r="Y27" s="97" t="str">
        <f t="shared" si="2"/>
        <v/>
      </c>
      <c r="Z27" s="41" t="str">
        <f t="shared" si="3"/>
        <v/>
      </c>
      <c r="AA27" s="41">
        <f t="shared" si="7"/>
        <v>0</v>
      </c>
      <c r="AB27" s="54">
        <f t="shared" si="4"/>
        <v>0</v>
      </c>
      <c r="AC27" s="82">
        <f t="shared" si="8"/>
        <v>0</v>
      </c>
      <c r="AD27" s="75"/>
      <c r="AE27" s="75"/>
    </row>
    <row r="28" spans="1:31" ht="13.5" thickBot="1" x14ac:dyDescent="0.25">
      <c r="A28" s="101"/>
      <c r="B28" s="102" t="s">
        <v>89</v>
      </c>
      <c r="C28" s="108" t="s">
        <v>17</v>
      </c>
      <c r="D28" s="102" t="s">
        <v>66</v>
      </c>
      <c r="E28" s="103"/>
      <c r="F28" s="104"/>
      <c r="G28" s="104"/>
      <c r="H28" s="102"/>
      <c r="I28" s="102"/>
      <c r="J28" s="105"/>
      <c r="K28" s="104"/>
      <c r="L28" s="106"/>
      <c r="M28" s="104"/>
      <c r="N28" s="106"/>
      <c r="O28" s="107"/>
      <c r="T28" s="39">
        <f t="shared" ca="1" si="5"/>
        <v>44765</v>
      </c>
      <c r="U28" s="58">
        <f t="shared" ca="1" si="6"/>
        <v>44765</v>
      </c>
      <c r="V28" s="52">
        <f t="shared" ca="1" si="9"/>
        <v>2022</v>
      </c>
      <c r="W28" s="45" t="str">
        <f t="shared" ca="1" si="10"/>
        <v>Saturday</v>
      </c>
      <c r="X28" s="39" t="str">
        <f ca="1">T28&amp;COUNTIF($T$3:T28,T28)</f>
        <v>447651</v>
      </c>
      <c r="Y28" s="97" t="str">
        <f t="shared" si="2"/>
        <v/>
      </c>
      <c r="Z28" s="41" t="str">
        <f t="shared" si="3"/>
        <v/>
      </c>
      <c r="AA28" s="41">
        <f t="shared" si="7"/>
        <v>0</v>
      </c>
      <c r="AB28" s="54">
        <f t="shared" si="4"/>
        <v>0</v>
      </c>
      <c r="AC28" s="82">
        <f t="shared" si="8"/>
        <v>0</v>
      </c>
      <c r="AD28" s="75"/>
      <c r="AE28" s="75"/>
    </row>
    <row r="29" spans="1:31" ht="13.5" thickBot="1" x14ac:dyDescent="0.25">
      <c r="A29" s="101"/>
      <c r="B29" s="109" t="s">
        <v>90</v>
      </c>
      <c r="C29" s="109" t="s">
        <v>18</v>
      </c>
      <c r="D29" s="102" t="s">
        <v>66</v>
      </c>
      <c r="E29" s="103"/>
      <c r="F29" s="104"/>
      <c r="G29" s="104"/>
      <c r="H29" s="102"/>
      <c r="I29" s="102"/>
      <c r="J29" s="105"/>
      <c r="K29" s="104"/>
      <c r="L29" s="106"/>
      <c r="M29" s="104"/>
      <c r="N29" s="106"/>
      <c r="O29" s="107"/>
      <c r="T29" s="39">
        <f t="shared" ca="1" si="5"/>
        <v>44766</v>
      </c>
      <c r="U29" s="58">
        <f t="shared" ca="1" si="6"/>
        <v>44766</v>
      </c>
      <c r="V29" s="52">
        <f t="shared" ca="1" si="9"/>
        <v>2022</v>
      </c>
      <c r="W29" s="45" t="str">
        <f t="shared" ca="1" si="10"/>
        <v>Sunday</v>
      </c>
      <c r="X29" s="39" t="str">
        <f ca="1">T29&amp;COUNTIF($T$3:T29,T29)</f>
        <v>447661</v>
      </c>
      <c r="Y29" s="97" t="str">
        <f t="shared" si="2"/>
        <v/>
      </c>
      <c r="Z29" s="41" t="str">
        <f t="shared" si="3"/>
        <v/>
      </c>
      <c r="AA29" s="41">
        <f t="shared" si="7"/>
        <v>0</v>
      </c>
      <c r="AB29" s="54">
        <f t="shared" si="4"/>
        <v>0</v>
      </c>
      <c r="AC29" s="82">
        <f t="shared" si="8"/>
        <v>0</v>
      </c>
      <c r="AD29" s="75"/>
      <c r="AE29" s="75"/>
    </row>
    <row r="30" spans="1:31" ht="13.5" thickBot="1" x14ac:dyDescent="0.25">
      <c r="A30" s="110"/>
      <c r="B30" s="111" t="s">
        <v>91</v>
      </c>
      <c r="C30" s="111" t="s">
        <v>19</v>
      </c>
      <c r="D30" s="112" t="s">
        <v>66</v>
      </c>
      <c r="E30" s="103"/>
      <c r="F30" s="113"/>
      <c r="G30" s="113"/>
      <c r="H30" s="112"/>
      <c r="I30" s="112"/>
      <c r="J30" s="114"/>
      <c r="K30" s="113"/>
      <c r="L30" s="115"/>
      <c r="M30" s="113"/>
      <c r="N30" s="115"/>
      <c r="O30" s="116"/>
      <c r="T30" s="39">
        <f t="shared" ca="1" si="5"/>
        <v>44767</v>
      </c>
      <c r="U30" s="58">
        <f t="shared" ca="1" si="6"/>
        <v>44767</v>
      </c>
      <c r="V30" s="52">
        <f t="shared" ca="1" si="9"/>
        <v>2022</v>
      </c>
      <c r="W30" s="45" t="str">
        <f t="shared" ca="1" si="10"/>
        <v>Monday</v>
      </c>
      <c r="X30" s="39" t="str">
        <f ca="1">T30&amp;COUNTIF($T$3:T30,T30)</f>
        <v>447671</v>
      </c>
      <c r="Y30" s="97" t="str">
        <f t="shared" si="2"/>
        <v/>
      </c>
      <c r="Z30" s="41" t="str">
        <f t="shared" si="3"/>
        <v/>
      </c>
      <c r="AA30" s="41">
        <f t="shared" si="7"/>
        <v>0</v>
      </c>
      <c r="AB30" s="54">
        <f t="shared" si="4"/>
        <v>0</v>
      </c>
      <c r="AC30" s="82">
        <f t="shared" si="8"/>
        <v>0</v>
      </c>
      <c r="AD30" s="75"/>
      <c r="AE30" s="75"/>
    </row>
    <row r="31" spans="1:31" ht="13.5" thickBot="1" x14ac:dyDescent="0.25">
      <c r="A31" s="101"/>
      <c r="B31" s="102" t="s">
        <v>92</v>
      </c>
      <c r="C31" s="102" t="s">
        <v>20</v>
      </c>
      <c r="D31" s="102" t="s">
        <v>66</v>
      </c>
      <c r="E31" s="103"/>
      <c r="F31" s="104"/>
      <c r="G31" s="104"/>
      <c r="H31" s="102"/>
      <c r="I31" s="102"/>
      <c r="J31" s="105"/>
      <c r="K31" s="104"/>
      <c r="L31" s="106"/>
      <c r="M31" s="104"/>
      <c r="N31" s="106"/>
      <c r="O31" s="107"/>
      <c r="T31" s="39">
        <f t="shared" ca="1" si="5"/>
        <v>44768</v>
      </c>
      <c r="U31" s="58">
        <f t="shared" ca="1" si="6"/>
        <v>44768</v>
      </c>
      <c r="V31" s="52">
        <f t="shared" ca="1" si="9"/>
        <v>2022</v>
      </c>
      <c r="W31" s="45" t="str">
        <f t="shared" ca="1" si="10"/>
        <v>Tuesday</v>
      </c>
      <c r="X31" s="39" t="str">
        <f ca="1">T31&amp;COUNTIF($T$3:T31,T31)</f>
        <v>447681</v>
      </c>
      <c r="Y31" s="97" t="str">
        <f t="shared" si="2"/>
        <v/>
      </c>
      <c r="Z31" s="41" t="str">
        <f t="shared" si="3"/>
        <v/>
      </c>
      <c r="AA31" s="41">
        <f t="shared" si="7"/>
        <v>0</v>
      </c>
      <c r="AB31" s="54">
        <f t="shared" si="4"/>
        <v>0</v>
      </c>
      <c r="AC31" s="82">
        <f t="shared" si="8"/>
        <v>0</v>
      </c>
      <c r="AD31" s="75"/>
      <c r="AE31" s="75"/>
    </row>
    <row r="32" spans="1:31" ht="13.5" thickBot="1" x14ac:dyDescent="0.25">
      <c r="A32" s="101"/>
      <c r="B32" s="102" t="s">
        <v>93</v>
      </c>
      <c r="C32" s="102" t="s">
        <v>21</v>
      </c>
      <c r="D32" s="102" t="s">
        <v>66</v>
      </c>
      <c r="E32" s="103"/>
      <c r="F32" s="104"/>
      <c r="G32" s="104"/>
      <c r="H32" s="102"/>
      <c r="I32" s="102"/>
      <c r="J32" s="105"/>
      <c r="K32" s="104"/>
      <c r="L32" s="106"/>
      <c r="M32" s="104"/>
      <c r="N32" s="106"/>
      <c r="O32" s="107"/>
      <c r="T32" s="39">
        <f t="shared" ca="1" si="5"/>
        <v>44769</v>
      </c>
      <c r="U32" s="58">
        <f t="shared" ca="1" si="6"/>
        <v>44769</v>
      </c>
      <c r="V32" s="52">
        <f t="shared" ca="1" si="9"/>
        <v>2022</v>
      </c>
      <c r="W32" s="45" t="str">
        <f t="shared" ca="1" si="10"/>
        <v>Wednesday</v>
      </c>
      <c r="X32" s="39" t="str">
        <f ca="1">T32&amp;COUNTIF($T$3:T32,T32)</f>
        <v>447691</v>
      </c>
      <c r="Y32" s="97" t="str">
        <f t="shared" si="2"/>
        <v/>
      </c>
      <c r="Z32" s="41" t="str">
        <f t="shared" si="3"/>
        <v/>
      </c>
      <c r="AA32" s="41">
        <f t="shared" si="7"/>
        <v>0</v>
      </c>
      <c r="AB32" s="54">
        <f t="shared" si="4"/>
        <v>0</v>
      </c>
      <c r="AC32" s="82">
        <f t="shared" si="8"/>
        <v>0</v>
      </c>
      <c r="AD32" s="75"/>
      <c r="AE32" s="75"/>
    </row>
    <row r="33" spans="1:37" ht="13.5" thickBot="1" x14ac:dyDescent="0.25">
      <c r="A33" s="101"/>
      <c r="B33" s="102" t="s">
        <v>94</v>
      </c>
      <c r="C33" s="102" t="s">
        <v>14</v>
      </c>
      <c r="D33" s="102" t="s">
        <v>66</v>
      </c>
      <c r="E33" s="103"/>
      <c r="F33" s="104"/>
      <c r="G33" s="104"/>
      <c r="H33" s="102"/>
      <c r="I33" s="102"/>
      <c r="J33" s="105"/>
      <c r="K33" s="104"/>
      <c r="L33" s="106"/>
      <c r="M33" s="104"/>
      <c r="N33" s="106"/>
      <c r="O33" s="107"/>
      <c r="T33" s="39">
        <f t="shared" ca="1" si="5"/>
        <v>44770</v>
      </c>
      <c r="U33" s="58">
        <f t="shared" ca="1" si="6"/>
        <v>44770</v>
      </c>
      <c r="V33" s="52">
        <f t="shared" ca="1" si="9"/>
        <v>2022</v>
      </c>
      <c r="W33" s="45" t="str">
        <f t="shared" ca="1" si="10"/>
        <v>Thursday</v>
      </c>
      <c r="X33" s="39" t="str">
        <f ca="1">T33&amp;COUNTIF($T$3:T33,T33)</f>
        <v>447701</v>
      </c>
      <c r="Y33" s="97" t="str">
        <f t="shared" si="2"/>
        <v/>
      </c>
      <c r="Z33" s="41" t="str">
        <f t="shared" si="3"/>
        <v/>
      </c>
      <c r="AA33" s="41">
        <f t="shared" si="7"/>
        <v>0</v>
      </c>
      <c r="AB33" s="54">
        <f t="shared" si="4"/>
        <v>0</v>
      </c>
      <c r="AC33" s="82">
        <f t="shared" si="8"/>
        <v>0</v>
      </c>
      <c r="AD33" s="75"/>
      <c r="AE33" s="75"/>
    </row>
    <row r="34" spans="1:37" ht="13.5" thickBot="1" x14ac:dyDescent="0.25">
      <c r="A34" s="101" t="s">
        <v>33</v>
      </c>
      <c r="B34" s="102" t="s">
        <v>94</v>
      </c>
      <c r="C34" s="102"/>
      <c r="D34" s="102" t="s">
        <v>66</v>
      </c>
      <c r="E34" s="103"/>
      <c r="F34" s="104"/>
      <c r="G34" s="104"/>
      <c r="H34" s="102"/>
      <c r="I34" s="102"/>
      <c r="J34" s="105"/>
      <c r="K34" s="104"/>
      <c r="L34" s="106"/>
      <c r="M34" s="104"/>
      <c r="N34" s="106"/>
      <c r="O34" s="107"/>
      <c r="T34" s="39">
        <f t="shared" ca="1" si="5"/>
        <v>44770</v>
      </c>
      <c r="U34" s="58">
        <f t="shared" ca="1" si="6"/>
        <v>44770</v>
      </c>
      <c r="V34" s="52">
        <f t="shared" ca="1" si="9"/>
        <v>2022</v>
      </c>
      <c r="W34" s="45" t="str">
        <f t="shared" ca="1" si="10"/>
        <v>Thursday</v>
      </c>
      <c r="X34" s="39" t="str">
        <f ca="1">T34&amp;COUNTIF($T$3:T34,T34)</f>
        <v>447702</v>
      </c>
      <c r="Y34" s="97" t="str">
        <f t="shared" si="2"/>
        <v/>
      </c>
      <c r="Z34" s="41" t="str">
        <f t="shared" si="3"/>
        <v/>
      </c>
      <c r="AA34" s="41">
        <f t="shared" si="7"/>
        <v>0</v>
      </c>
      <c r="AB34" s="54">
        <f t="shared" si="4"/>
        <v>0</v>
      </c>
      <c r="AC34" s="82">
        <f t="shared" si="8"/>
        <v>0</v>
      </c>
      <c r="AD34" s="75"/>
      <c r="AE34" s="75"/>
    </row>
    <row r="35" spans="1:37" ht="13.5" thickBot="1" x14ac:dyDescent="0.25">
      <c r="A35" s="101"/>
      <c r="B35" s="102" t="s">
        <v>95</v>
      </c>
      <c r="C35" s="102" t="s">
        <v>16</v>
      </c>
      <c r="D35" s="102" t="s">
        <v>66</v>
      </c>
      <c r="E35" s="103"/>
      <c r="F35" s="104"/>
      <c r="G35" s="104"/>
      <c r="H35" s="102"/>
      <c r="I35" s="102"/>
      <c r="J35" s="105"/>
      <c r="K35" s="104"/>
      <c r="L35" s="106"/>
      <c r="M35" s="104"/>
      <c r="N35" s="106"/>
      <c r="O35" s="107"/>
      <c r="T35" s="39">
        <f t="shared" ca="1" si="5"/>
        <v>44771</v>
      </c>
      <c r="U35" s="58">
        <f t="shared" ca="1" si="6"/>
        <v>44771</v>
      </c>
      <c r="V35" s="52">
        <f t="shared" ca="1" si="9"/>
        <v>2022</v>
      </c>
      <c r="W35" s="45" t="str">
        <f t="shared" ca="1" si="10"/>
        <v>Friday</v>
      </c>
      <c r="X35" s="39" t="str">
        <f ca="1">T35&amp;COUNTIF($T$3:T35,T35)</f>
        <v>447711</v>
      </c>
      <c r="Y35" s="97" t="str">
        <f t="shared" si="2"/>
        <v/>
      </c>
      <c r="Z35" s="41" t="str">
        <f t="shared" si="3"/>
        <v/>
      </c>
      <c r="AA35" s="41">
        <f t="shared" si="7"/>
        <v>0</v>
      </c>
      <c r="AB35" s="54">
        <f t="shared" si="4"/>
        <v>0</v>
      </c>
      <c r="AC35" s="82">
        <f t="shared" si="8"/>
        <v>0</v>
      </c>
      <c r="AD35" s="75"/>
      <c r="AE35" s="75"/>
    </row>
    <row r="36" spans="1:37" ht="13.5" thickBot="1" x14ac:dyDescent="0.25">
      <c r="A36" s="101"/>
      <c r="B36" s="102" t="s">
        <v>96</v>
      </c>
      <c r="C36" s="108" t="s">
        <v>17</v>
      </c>
      <c r="D36" s="102" t="s">
        <v>66</v>
      </c>
      <c r="E36" s="103"/>
      <c r="F36" s="104"/>
      <c r="G36" s="104"/>
      <c r="H36" s="102"/>
      <c r="I36" s="102"/>
      <c r="J36" s="105"/>
      <c r="K36" s="104"/>
      <c r="L36" s="106"/>
      <c r="M36" s="104"/>
      <c r="N36" s="106"/>
      <c r="O36" s="107"/>
      <c r="T36" s="39">
        <f t="shared" ca="1" si="5"/>
        <v>44772</v>
      </c>
      <c r="U36" s="58">
        <f t="shared" ca="1" si="6"/>
        <v>44772</v>
      </c>
      <c r="V36" s="52">
        <f t="shared" ca="1" si="9"/>
        <v>2022</v>
      </c>
      <c r="W36" s="45" t="str">
        <f t="shared" ca="1" si="10"/>
        <v>Saturday</v>
      </c>
      <c r="X36" s="39" t="str">
        <f ca="1">T36&amp;COUNTIF($T$3:T36,T36)</f>
        <v>447721</v>
      </c>
      <c r="Y36" s="97" t="str">
        <f t="shared" si="2"/>
        <v/>
      </c>
      <c r="Z36" s="41" t="str">
        <f t="shared" si="3"/>
        <v/>
      </c>
      <c r="AA36" s="41">
        <f t="shared" si="7"/>
        <v>0</v>
      </c>
      <c r="AB36" s="54">
        <f t="shared" si="4"/>
        <v>0</v>
      </c>
      <c r="AC36" s="82">
        <f t="shared" si="8"/>
        <v>0</v>
      </c>
      <c r="AD36" s="75"/>
      <c r="AE36" s="75"/>
    </row>
    <row r="37" spans="1:37" ht="13.5" thickBot="1" x14ac:dyDescent="0.25">
      <c r="A37" s="110"/>
      <c r="B37" s="112" t="s">
        <v>101</v>
      </c>
      <c r="C37" s="117" t="s">
        <v>18</v>
      </c>
      <c r="D37" s="112" t="s">
        <v>66</v>
      </c>
      <c r="E37" s="103"/>
      <c r="F37" s="113"/>
      <c r="G37" s="113"/>
      <c r="H37" s="112"/>
      <c r="I37" s="112"/>
      <c r="J37" s="114"/>
      <c r="K37" s="113"/>
      <c r="L37" s="115"/>
      <c r="M37" s="113"/>
      <c r="N37" s="115"/>
      <c r="O37" s="116"/>
      <c r="P37"/>
      <c r="Q37"/>
      <c r="R37"/>
      <c r="S37"/>
      <c r="T37" s="39">
        <f t="shared" ca="1" si="5"/>
        <v>44773</v>
      </c>
      <c r="U37" s="58">
        <f t="shared" ca="1" si="6"/>
        <v>44773</v>
      </c>
      <c r="V37" s="52">
        <f t="shared" ca="1" si="9"/>
        <v>2022</v>
      </c>
      <c r="W37" s="45" t="str">
        <f t="shared" ca="1" si="10"/>
        <v>Sunday</v>
      </c>
      <c r="X37" s="39" t="str">
        <f ca="1">T37&amp;COUNTIF($T$3:T37,T37)</f>
        <v>447731</v>
      </c>
      <c r="Y37" s="97" t="str">
        <f t="shared" si="2"/>
        <v/>
      </c>
      <c r="Z37" s="41" t="str">
        <f t="shared" si="3"/>
        <v/>
      </c>
      <c r="AA37" s="41">
        <f t="shared" si="7"/>
        <v>0</v>
      </c>
      <c r="AB37" s="54">
        <f t="shared" si="4"/>
        <v>0</v>
      </c>
      <c r="AC37" s="82">
        <f t="shared" si="8"/>
        <v>0</v>
      </c>
      <c r="AD37" s="75"/>
      <c r="AE37" s="75"/>
      <c r="AF37"/>
      <c r="AG37"/>
      <c r="AH37"/>
      <c r="AI37"/>
      <c r="AJ37"/>
      <c r="AK37"/>
    </row>
    <row r="38" spans="1:37" ht="15" thickBot="1" x14ac:dyDescent="0.25">
      <c r="A38" s="118" t="s">
        <v>33</v>
      </c>
      <c r="B38" s="119" t="s">
        <v>101</v>
      </c>
      <c r="C38" s="120"/>
      <c r="D38" s="119" t="s">
        <v>66</v>
      </c>
      <c r="E38" s="121"/>
      <c r="F38" s="122"/>
      <c r="G38" s="113"/>
      <c r="H38" s="119"/>
      <c r="I38" s="119"/>
      <c r="J38" s="133"/>
      <c r="K38" s="122"/>
      <c r="L38" s="123"/>
      <c r="M38" s="122"/>
      <c r="N38" s="123"/>
      <c r="O38" s="124"/>
      <c r="P38"/>
      <c r="Q38"/>
      <c r="R38"/>
      <c r="S38"/>
      <c r="T38" s="39">
        <f t="shared" ca="1" si="5"/>
        <v>44773</v>
      </c>
      <c r="U38" s="58">
        <f t="shared" ca="1" si="6"/>
        <v>44773</v>
      </c>
      <c r="V38" s="52">
        <f t="shared" ca="1" si="9"/>
        <v>2022</v>
      </c>
      <c r="W38" s="45" t="str">
        <f t="shared" ca="1" si="10"/>
        <v>Sunday</v>
      </c>
      <c r="X38" s="39" t="str">
        <f ca="1">T38&amp;COUNTIF($T$3:T38,T38)</f>
        <v>447732</v>
      </c>
      <c r="Y38" s="97" t="str">
        <f t="shared" si="2"/>
        <v/>
      </c>
      <c r="Z38" s="41" t="str">
        <f t="shared" si="3"/>
        <v/>
      </c>
      <c r="AA38" s="41">
        <f t="shared" si="7"/>
        <v>0</v>
      </c>
      <c r="AB38" s="54">
        <f t="shared" si="4"/>
        <v>0</v>
      </c>
      <c r="AC38" s="82">
        <f t="shared" si="8"/>
        <v>0</v>
      </c>
      <c r="AD38" s="75"/>
      <c r="AE38" s="75"/>
      <c r="AF38"/>
      <c r="AG38"/>
      <c r="AH38"/>
      <c r="AI38"/>
      <c r="AJ38"/>
      <c r="AK38"/>
    </row>
    <row r="39" spans="1:37" ht="16.5" thickTop="1" thickBot="1" x14ac:dyDescent="0.25">
      <c r="A39" s="125" t="s">
        <v>48</v>
      </c>
      <c r="B39" s="126" t="s">
        <v>101</v>
      </c>
      <c r="C39" s="126"/>
      <c r="D39" s="126" t="s">
        <v>66</v>
      </c>
      <c r="E39" s="127"/>
      <c r="F39" s="128"/>
      <c r="G39" s="128"/>
      <c r="H39" s="126"/>
      <c r="I39" s="126"/>
      <c r="J39" s="129" t="s">
        <v>107</v>
      </c>
      <c r="K39" s="128"/>
      <c r="L39" s="130"/>
      <c r="M39" s="128"/>
      <c r="N39" s="131"/>
      <c r="O39" s="132"/>
      <c r="P39"/>
      <c r="Q39"/>
      <c r="R39"/>
      <c r="S39"/>
      <c r="T39" s="39">
        <f t="shared" ca="1" si="5"/>
        <v>44773</v>
      </c>
      <c r="U39" s="58">
        <f t="shared" ca="1" si="6"/>
        <v>44773</v>
      </c>
      <c r="V39" s="52">
        <f t="shared" ca="1" si="9"/>
        <v>2022</v>
      </c>
      <c r="W39" s="45" t="str">
        <f t="shared" ca="1" si="10"/>
        <v>Sunday</v>
      </c>
      <c r="X39" s="39" t="str">
        <f ca="1">T39&amp;COUNTIF($T$3:T39,T39)</f>
        <v>447733</v>
      </c>
      <c r="Y39" s="97" t="str">
        <f t="shared" si="2"/>
        <v/>
      </c>
      <c r="Z39" s="41" t="str">
        <f t="shared" si="3"/>
        <v/>
      </c>
      <c r="AA39" s="41">
        <f t="shared" si="7"/>
        <v>0</v>
      </c>
      <c r="AB39" s="54">
        <f t="shared" si="4"/>
        <v>0</v>
      </c>
      <c r="AC39" s="82" t="str">
        <f t="shared" si="8"/>
        <v>37.44</v>
      </c>
      <c r="AD39" s="75"/>
      <c r="AE39" s="75"/>
      <c r="AF39"/>
      <c r="AG39"/>
      <c r="AH39"/>
      <c r="AI39"/>
      <c r="AJ39"/>
      <c r="AK39"/>
    </row>
    <row r="40" spans="1:37" ht="13.5" thickTop="1" x14ac:dyDescent="0.2">
      <c r="P40"/>
      <c r="Q40"/>
      <c r="R40"/>
      <c r="S40"/>
      <c r="T40" s="39">
        <f t="shared" ca="1" si="5"/>
        <v>44742</v>
      </c>
      <c r="U40" s="58">
        <f t="shared" ca="1" si="6"/>
        <v>44742</v>
      </c>
      <c r="V40" s="52">
        <f t="shared" ca="1" si="9"/>
        <v>2022</v>
      </c>
      <c r="W40" s="45" t="str">
        <f t="shared" ca="1" si="10"/>
        <v>Thursday</v>
      </c>
      <c r="X40" s="39" t="str">
        <f ca="1">T40&amp;COUNTIF($T$3:T40,T40)</f>
        <v>447421</v>
      </c>
      <c r="Y40" s="97" t="str">
        <f t="shared" si="2"/>
        <v/>
      </c>
      <c r="Z40" s="41" t="str">
        <f t="shared" si="3"/>
        <v/>
      </c>
      <c r="AA40" s="41">
        <f t="shared" si="7"/>
        <v>0</v>
      </c>
      <c r="AB40" s="54">
        <f t="shared" si="4"/>
        <v>0</v>
      </c>
      <c r="AC40" s="82">
        <f t="shared" si="8"/>
        <v>0</v>
      </c>
      <c r="AD40" s="75"/>
      <c r="AE40" s="75"/>
      <c r="AF40"/>
      <c r="AG40"/>
      <c r="AH40"/>
      <c r="AI40"/>
      <c r="AJ40"/>
      <c r="AK40"/>
    </row>
    <row r="41" spans="1:37" x14ac:dyDescent="0.2"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1:37" x14ac:dyDescent="0.2"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1:37" x14ac:dyDescent="0.2"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  <row r="44" spans="1:37" x14ac:dyDescent="0.2"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</row>
    <row r="45" spans="1:37" x14ac:dyDescent="0.2"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</row>
    <row r="46" spans="1:37" x14ac:dyDescent="0.2"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</row>
  </sheetData>
  <pageMargins left="0.7" right="0.7" top="0.75" bottom="0.75" header="0.3" footer="0.3"/>
  <pageSetup paperSize="9" scale="23" orientation="portrait" r:id="rId1"/>
  <headerFooter>
    <oddFooter>&amp;C&amp;P</oddFooter>
  </headerFooter>
  <drawing r:id="rId2"/>
  <legacyDrawing r:id="rId3"/>
  <controls>
    <mc:AlternateContent xmlns:mc="http://schemas.openxmlformats.org/markup-compatibility/2006">
      <mc:Choice Requires="x14">
        <control shapeId="43312" r:id="rId4" name="CommandButton3">
          <controlPr defaultSize="0" autoLine="0" r:id="rId5">
            <anchor moveWithCells="1">
              <from>
                <xdr:col>31</xdr:col>
                <xdr:colOff>352425</xdr:colOff>
                <xdr:row>9</xdr:row>
                <xdr:rowOff>142875</xdr:rowOff>
              </from>
              <to>
                <xdr:col>33</xdr:col>
                <xdr:colOff>800100</xdr:colOff>
                <xdr:row>12</xdr:row>
                <xdr:rowOff>38100</xdr:rowOff>
              </to>
            </anchor>
          </controlPr>
        </control>
      </mc:Choice>
      <mc:Fallback>
        <control shapeId="43312" r:id="rId4" name="CommandButton3"/>
      </mc:Fallback>
    </mc:AlternateContent>
    <mc:AlternateContent xmlns:mc="http://schemas.openxmlformats.org/markup-compatibility/2006">
      <mc:Choice Requires="x14">
        <control shapeId="43309" r:id="rId6" name="CommandButton1">
          <controlPr defaultSize="0" autoLine="0" r:id="rId7">
            <anchor moveWithCells="1">
              <from>
                <xdr:col>31</xdr:col>
                <xdr:colOff>323850</xdr:colOff>
                <xdr:row>6</xdr:row>
                <xdr:rowOff>85725</xdr:rowOff>
              </from>
              <to>
                <xdr:col>34</xdr:col>
                <xdr:colOff>47625</xdr:colOff>
                <xdr:row>9</xdr:row>
                <xdr:rowOff>9525</xdr:rowOff>
              </to>
            </anchor>
          </controlPr>
        </control>
      </mc:Choice>
      <mc:Fallback>
        <control shapeId="43309" r:id="rId6" name="CommandButton1"/>
      </mc:Fallback>
    </mc:AlternateContent>
    <mc:AlternateContent xmlns:mc="http://schemas.openxmlformats.org/markup-compatibility/2006">
      <mc:Choice Requires="x14">
        <control shapeId="43311" r:id="rId8" name="CommandButton2">
          <controlPr defaultSize="0" autoLine="0" r:id="rId9">
            <anchor moveWithCells="1">
              <from>
                <xdr:col>31</xdr:col>
                <xdr:colOff>342900</xdr:colOff>
                <xdr:row>13</xdr:row>
                <xdr:rowOff>0</xdr:rowOff>
              </from>
              <to>
                <xdr:col>34</xdr:col>
                <xdr:colOff>142875</xdr:colOff>
                <xdr:row>15</xdr:row>
                <xdr:rowOff>95250</xdr:rowOff>
              </to>
            </anchor>
          </controlPr>
        </control>
      </mc:Choice>
      <mc:Fallback>
        <control shapeId="43311" r:id="rId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גיליון1">
    <pageSetUpPr fitToPage="1"/>
  </sheetPr>
  <dimension ref="A1:AS48"/>
  <sheetViews>
    <sheetView rightToLeft="1" zoomScaleNormal="100" workbookViewId="0">
      <selection activeCell="K20" sqref="K20"/>
    </sheetView>
  </sheetViews>
  <sheetFormatPr defaultRowHeight="12.75" x14ac:dyDescent="0.2"/>
  <cols>
    <col min="1" max="1" width="10.28515625" bestFit="1" customWidth="1"/>
    <col min="2" max="2" width="17.85546875" bestFit="1" customWidth="1"/>
    <col min="3" max="3" width="8" bestFit="1" customWidth="1"/>
    <col min="4" max="4" width="15.42578125" bestFit="1" customWidth="1"/>
    <col min="5" max="5" width="15.28515625" bestFit="1" customWidth="1"/>
    <col min="6" max="6" width="10.140625" bestFit="1" customWidth="1"/>
    <col min="7" max="7" width="12.140625" bestFit="1" customWidth="1"/>
    <col min="8" max="8" width="9.5703125" bestFit="1" customWidth="1"/>
    <col min="9" max="9" width="20.5703125" bestFit="1" customWidth="1"/>
    <col min="12" max="12" width="9.140625" customWidth="1"/>
    <col min="13" max="13" width="85.28515625" bestFit="1" customWidth="1"/>
    <col min="14" max="15" width="14" customWidth="1"/>
    <col min="16" max="44" width="14" bestFit="1" customWidth="1"/>
    <col min="45" max="45" width="8.42578125" customWidth="1"/>
  </cols>
  <sheetData>
    <row r="1" spans="1:45" ht="15" x14ac:dyDescent="0.25">
      <c r="A1" s="135"/>
      <c r="B1" s="136"/>
      <c r="C1" s="137"/>
      <c r="D1" s="135" t="s">
        <v>5</v>
      </c>
      <c r="E1" s="136"/>
      <c r="F1" s="137"/>
      <c r="G1" s="135" t="s">
        <v>6</v>
      </c>
      <c r="H1" s="136"/>
      <c r="I1" s="137"/>
    </row>
    <row r="2" spans="1:45" ht="15" x14ac:dyDescent="0.25">
      <c r="A2" s="30" t="s">
        <v>2</v>
      </c>
      <c r="B2" s="30" t="s">
        <v>28</v>
      </c>
      <c r="C2" s="30" t="s">
        <v>29</v>
      </c>
      <c r="D2" s="30" t="s">
        <v>30</v>
      </c>
      <c r="E2" s="30" t="s">
        <v>31</v>
      </c>
      <c r="F2" s="30" t="s">
        <v>32</v>
      </c>
      <c r="G2" s="30" t="s">
        <v>9</v>
      </c>
      <c r="H2" s="30" t="s">
        <v>10</v>
      </c>
      <c r="I2" s="30" t="s">
        <v>11</v>
      </c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</row>
    <row r="3" spans="1:45" x14ac:dyDescent="0.2">
      <c r="A3" s="38">
        <f ca="1">DATE(YEAR(B3),MONTH(B3),DAY(B3))</f>
        <v>44743</v>
      </c>
      <c r="B3" s="47">
        <f ca="1">'דוח הכנה chrome'!T3</f>
        <v>44743</v>
      </c>
      <c r="C3" s="45" t="str">
        <f ca="1">TEXT(B3,"dddd")</f>
        <v>Friday</v>
      </c>
      <c r="D3" s="34" t="str">
        <f ca="1">IFERROR(IF(C3="שבת","",IF(C3="יום שישי","",VLOOKUP(B3,'דוח הכנה chrome'!$T$3:$Y$46,6,0))),"")</f>
        <v>7:39</v>
      </c>
      <c r="E3" s="37" t="str">
        <f ca="1">IFERROR(IF(C3="שבת","",IF(C3="יום שישי","",VLOOKUP(B3,'דוח הכנה chrome'!$T$3:$Z$46,7,0))),"")</f>
        <v>17:08</v>
      </c>
      <c r="F3" s="32">
        <f ca="1">IFERROR(24*(E3-D3),0)</f>
        <v>9.4833333333333325</v>
      </c>
      <c r="G3" s="54" t="str">
        <f ca="1">IFERROR(IF(C3="שבת",VLOOKUP(B3,'דוח הכנה chrome'!$T$3:$Y$39,6,0),IF(C3="יום שישי",VLOOKUP(B3,'דוח הכנה chrome'!$T$3:$Y$39,6,0),IF(VLOOKUP(B3&amp;"2",'דוח הכנה chrome'!$X$3:$Y$39,2,0)=D3,"",VLOOKUP(B3&amp;"2",'דוח הכנה chrome'!$X$3:$Y$39,2,0)))),"")</f>
        <v/>
      </c>
      <c r="H3" s="34" t="str">
        <f ca="1">IFERROR(IF(C3="שבת",VLOOKUP(B3,'דוח הכנה chrome'!$T$3:$Z$39,7,0),IF(C3="יום שישי",VLOOKUP(B3,'דוח הכנה chrome'!$T$3:$Z$39,7,0),IF(VLOOKUP(B3&amp;"2",'דוח הכנה chrome'!$X$3:$Z$39,3,0)=E3,"",VLOOKUP(B3&amp;"2",'דוח הכנה chrome'!$X$3:$Z$39,3,0)))),"")</f>
        <v/>
      </c>
      <c r="I3" s="32">
        <f ca="1">IFERROR(24*(H3-G3),0)</f>
        <v>0</v>
      </c>
      <c r="K3" s="56"/>
    </row>
    <row r="4" spans="1:45" x14ac:dyDescent="0.2">
      <c r="A4" s="38">
        <f t="shared" ref="A4:A41" ca="1" si="0">DATE(YEAR(B4),MONTH(B4),DAY(B4))</f>
        <v>44744</v>
      </c>
      <c r="B4" s="47">
        <f ca="1">'דוח הכנה chrome'!T4</f>
        <v>44744</v>
      </c>
      <c r="C4" s="45" t="str">
        <f ca="1">TEXT(B4,"dddd")</f>
        <v>Saturday</v>
      </c>
      <c r="D4" s="34" t="str">
        <f ca="1">IFERROR(IF(C4="שבת","",IF(C4="יום שישי","",VLOOKUP(B4,'דוח הכנה chrome'!$T$3:$Y$46,6,0))),"")</f>
        <v>7:46</v>
      </c>
      <c r="E4" s="37" t="str">
        <f ca="1">IFERROR(IF(C4="שבת","",IF(C4="יום שישי","",VLOOKUP(B4,'דוח הכנה chrome'!$T$3:$Z$46,7,0))),"")</f>
        <v>17:09</v>
      </c>
      <c r="F4" s="32">
        <f t="shared" ref="F4:F41" ca="1" si="1">IFERROR(24*(E4-D4),0)</f>
        <v>9.3833333333333311</v>
      </c>
      <c r="G4" s="54" t="str">
        <f ca="1">IFERROR(IF(C4="שבת",VLOOKUP(B4,'דוח הכנה chrome'!$T$3:$Y$39,6,0),IF(C4="יום שישי",VLOOKUP(B4,'דוח הכנה chrome'!$T$3:$Y$39,6,0),IF(VLOOKUP(B4&amp;"2",'דוח הכנה chrome'!$X$3:$Y$39,2,0)=D4,"",VLOOKUP(B4&amp;"2",'דוח הכנה chrome'!$X$3:$Y$39,2,0)))),"")</f>
        <v/>
      </c>
      <c r="H4" s="34" t="str">
        <f ca="1">IFERROR(IF(C4="שבת",VLOOKUP(B4,'דוח הכנה chrome'!$T$3:$Z$39,7,0),IF(C4="יום שישי",VLOOKUP(B4,'דוח הכנה chrome'!$T$3:$Z$39,7,0),IF(VLOOKUP(B4&amp;"2",'דוח הכנה chrome'!$X$3:$Z$39,3,0)=E4,"",VLOOKUP(B4&amp;"2",'דוח הכנה chrome'!$X$3:$Z$39,3,0)))),"")</f>
        <v/>
      </c>
      <c r="I4" s="32">
        <f t="shared" ref="I4:I41" ca="1" si="2">IFERROR(24*(H4-G4),0)</f>
        <v>0</v>
      </c>
      <c r="K4" s="57"/>
      <c r="N4" s="55"/>
    </row>
    <row r="5" spans="1:45" x14ac:dyDescent="0.2">
      <c r="A5" s="38">
        <f t="shared" ca="1" si="0"/>
        <v>44745</v>
      </c>
      <c r="B5" s="47">
        <f ca="1">'דוח הכנה chrome'!T5</f>
        <v>44745</v>
      </c>
      <c r="C5" s="45" t="str">
        <f t="shared" ref="C5:C41" ca="1" si="3">TEXT(B5,"dddd")</f>
        <v>Sunday</v>
      </c>
      <c r="D5" s="34" t="str">
        <f ca="1">IFERROR(IF(C5="שבת","",IF(C5="יום שישי","",VLOOKUP(B5,'דוח הכנה chrome'!$T$3:$Y$46,6,0))),"")</f>
        <v>7:40</v>
      </c>
      <c r="E5" s="37" t="str">
        <f ca="1">IFERROR(IF(C5="שבת","",IF(C5="יום שישי","",VLOOKUP(B5,'דוח הכנה chrome'!$T$3:$Z$46,7,0))),"")</f>
        <v>17:09</v>
      </c>
      <c r="F5" s="32">
        <f t="shared" ca="1" si="1"/>
        <v>9.4833333333333307</v>
      </c>
      <c r="G5" s="54" t="str">
        <f ca="1">IFERROR(IF(C5="שבת",VLOOKUP(B5,'דוח הכנה chrome'!$T$3:$Y$39,6,0),IF(C5="יום שישי",VLOOKUP(B5,'דוח הכנה chrome'!$T$3:$Y$39,6,0),IF(VLOOKUP(B5&amp;"2",'דוח הכנה chrome'!$X$3:$Y$39,2,0)=D5,"",VLOOKUP(B5&amp;"2",'דוח הכנה chrome'!$X$3:$Y$39,2,0)))),"")</f>
        <v/>
      </c>
      <c r="H5" s="34" t="str">
        <f ca="1">IFERROR(IF(C5="שבת",VLOOKUP(B5,'דוח הכנה chrome'!$T$3:$Z$39,7,0),IF(C5="יום שישי",VLOOKUP(B5,'דוח הכנה chrome'!$T$3:$Z$39,7,0),IF(VLOOKUP(B5&amp;"2",'דוח הכנה chrome'!$X$3:$Z$39,3,0)=E5,"",VLOOKUP(B5&amp;"2",'דוח הכנה chrome'!$X$3:$Z$39,3,0)))),"")</f>
        <v/>
      </c>
      <c r="I5" s="32">
        <f t="shared" ca="1" si="2"/>
        <v>0</v>
      </c>
    </row>
    <row r="6" spans="1:45" x14ac:dyDescent="0.2">
      <c r="A6" s="38">
        <f t="shared" ca="1" si="0"/>
        <v>44746</v>
      </c>
      <c r="B6" s="47">
        <f ca="1">'דוח הכנה chrome'!T6</f>
        <v>44746</v>
      </c>
      <c r="C6" s="45" t="str">
        <f t="shared" ca="1" si="3"/>
        <v>Monday</v>
      </c>
      <c r="D6" s="34" t="str">
        <f ca="1">IFERROR(IF(C6="שבת","",IF(C6="יום שישי","",VLOOKUP(B6,'דוח הכנה chrome'!$T$3:$Y$46,6,0))),"")</f>
        <v>7:48</v>
      </c>
      <c r="E6" s="37" t="str">
        <f ca="1">IFERROR(IF(C6="שבת","",IF(C6="יום שישי","",VLOOKUP(B6,'דוח הכנה chrome'!$T$3:$Z$46,7,0))),"")</f>
        <v>17:11</v>
      </c>
      <c r="F6" s="32">
        <f t="shared" ca="1" si="1"/>
        <v>9.3833333333333329</v>
      </c>
      <c r="G6" s="54" t="str">
        <f ca="1">IFERROR(IF(C6="שבת",VLOOKUP(B6,'דוח הכנה chrome'!$T$3:$Y$39,6,0),IF(C6="יום שישי",VLOOKUP(B6,'דוח הכנה chrome'!$T$3:$Y$39,6,0),IF(VLOOKUP(B6&amp;"2",'דוח הכנה chrome'!$X$3:$Y$39,2,0)=D6,"",VLOOKUP(B6&amp;"2",'דוח הכנה chrome'!$X$3:$Y$39,2,0)))),"")</f>
        <v/>
      </c>
      <c r="H6" s="34" t="str">
        <f ca="1">IFERROR(IF(C6="שבת",VLOOKUP(B6,'דוח הכנה chrome'!$T$3:$Z$39,7,0),IF(C6="יום שישי",VLOOKUP(B6,'דוח הכנה chrome'!$T$3:$Z$39,7,0),IF(VLOOKUP(B6&amp;"2",'דוח הכנה chrome'!$X$3:$Z$39,3,0)=E6,"",VLOOKUP(B6&amp;"2",'דוח הכנה chrome'!$X$3:$Z$39,3,0)))),"")</f>
        <v/>
      </c>
      <c r="I6" s="32">
        <f t="shared" ca="1" si="2"/>
        <v>0</v>
      </c>
    </row>
    <row r="7" spans="1:45" x14ac:dyDescent="0.2">
      <c r="A7" s="38">
        <f t="shared" ca="1" si="0"/>
        <v>44747</v>
      </c>
      <c r="B7" s="47">
        <f ca="1">'דוח הכנה chrome'!T7</f>
        <v>44747</v>
      </c>
      <c r="C7" s="45" t="str">
        <f t="shared" ca="1" si="3"/>
        <v>Tuesday</v>
      </c>
      <c r="D7" s="34" t="str">
        <f ca="1">IFERROR(IF(C7="שבת","",IF(C7="יום שישי","",VLOOKUP(B7,'דוח הכנה chrome'!$T$3:$Y$46,6,0))),"")</f>
        <v>7:41</v>
      </c>
      <c r="E7" s="37" t="str">
        <f ca="1">IFERROR(IF(C7="שבת","",IF(C7="יום שישי","",VLOOKUP(B7,'דוח הכנה chrome'!$T$3:$Z$46,7,0))),"")</f>
        <v>16:39</v>
      </c>
      <c r="F7" s="32">
        <f t="shared" ca="1" si="1"/>
        <v>8.966666666666665</v>
      </c>
      <c r="G7" s="54" t="str">
        <f ca="1">IFERROR(IF(C7="שבת",VLOOKUP(B7,'דוח הכנה chrome'!$T$3:$Y$39,6,0),IF(C7="יום שישי",VLOOKUP(B7,'דוח הכנה chrome'!$T$3:$Y$39,6,0),IF(VLOOKUP(B7&amp;"2",'דוח הכנה chrome'!$X$3:$Y$39,2,0)=D7,"",VLOOKUP(B7&amp;"2",'דוח הכנה chrome'!$X$3:$Y$39,2,0)))),"")</f>
        <v/>
      </c>
      <c r="H7" s="34" t="str">
        <f ca="1">IFERROR(IF(C7="שבת",VLOOKUP(B7,'דוח הכנה chrome'!$T$3:$Z$39,7,0),IF(C7="יום שישי",VLOOKUP(B7,'דוח הכנה chrome'!$T$3:$Z$39,7,0),IF(VLOOKUP(B7&amp;"2",'דוח הכנה chrome'!$X$3:$Z$39,3,0)=E7,"",VLOOKUP(B7&amp;"2",'דוח הכנה chrome'!$X$3:$Z$39,3,0)))),"")</f>
        <v/>
      </c>
      <c r="I7" s="32">
        <f t="shared" ca="1" si="2"/>
        <v>0</v>
      </c>
    </row>
    <row r="8" spans="1:45" x14ac:dyDescent="0.2">
      <c r="A8" s="38">
        <f t="shared" ca="1" si="0"/>
        <v>44748</v>
      </c>
      <c r="B8" s="47">
        <f ca="1">'דוח הכנה chrome'!T8</f>
        <v>44748</v>
      </c>
      <c r="C8" s="45" t="str">
        <f t="shared" ca="1" si="3"/>
        <v>Wednesday</v>
      </c>
      <c r="D8" s="34" t="str">
        <f ca="1">IFERROR(IF(C8="שבת","",IF(C8="יום שישי","",VLOOKUP(B8,'דוח הכנה chrome'!$T$3:$Y$46,6,0))),"")</f>
        <v/>
      </c>
      <c r="E8" s="37" t="str">
        <f ca="1">IFERROR(IF(C8="שבת","",IF(C8="יום שישי","",VLOOKUP(B8,'דוח הכנה chrome'!$T$3:$Z$46,7,0))),"")</f>
        <v/>
      </c>
      <c r="F8" s="32">
        <f t="shared" ca="1" si="1"/>
        <v>0</v>
      </c>
      <c r="G8" s="54" t="str">
        <f ca="1">IFERROR(IF(C8="שבת",VLOOKUP(B8,'דוח הכנה chrome'!$T$3:$Y$39,6,0),IF(C8="יום שישי",VLOOKUP(B8,'דוח הכנה chrome'!$T$3:$Y$39,6,0),IF(VLOOKUP(B8&amp;"2",'דוח הכנה chrome'!$X$3:$Y$39,2,0)=D8,"",VLOOKUP(B8&amp;"2",'דוח הכנה chrome'!$X$3:$Y$39,2,0)))),"")</f>
        <v/>
      </c>
      <c r="H8" s="34" t="str">
        <f ca="1">IFERROR(IF(C8="שבת",VLOOKUP(B8,'דוח הכנה chrome'!$T$3:$Z$39,7,0),IF(C8="יום שישי",VLOOKUP(B8,'דוח הכנה chrome'!$T$3:$Z$39,7,0),IF(VLOOKUP(B8&amp;"2",'דוח הכנה chrome'!$X$3:$Z$39,3,0)=E8,"",VLOOKUP(B8&amp;"2",'דוח הכנה chrome'!$X$3:$Z$39,3,0)))),"")</f>
        <v/>
      </c>
      <c r="I8" s="32">
        <f t="shared" ca="1" si="2"/>
        <v>0</v>
      </c>
    </row>
    <row r="9" spans="1:45" x14ac:dyDescent="0.2">
      <c r="A9" s="38">
        <f t="shared" ca="1" si="0"/>
        <v>44749</v>
      </c>
      <c r="B9" s="47">
        <f ca="1">'דוח הכנה chrome'!T9</f>
        <v>44749</v>
      </c>
      <c r="C9" s="45" t="str">
        <f t="shared" ca="1" si="3"/>
        <v>Thursday</v>
      </c>
      <c r="D9" s="34" t="str">
        <f ca="1">IFERROR(IF(C9="שבת","",IF(C9="יום שישי","",VLOOKUP(B9,'דוח הכנה chrome'!$T$3:$Y$46,6,0))),"")</f>
        <v/>
      </c>
      <c r="E9" s="37" t="str">
        <f ca="1">IFERROR(IF(C9="שבת","",IF(C9="יום שישי","",VLOOKUP(B9,'דוח הכנה chrome'!$T$3:$Z$46,7,0))),"")</f>
        <v/>
      </c>
      <c r="F9" s="32">
        <f t="shared" ref="F9" ca="1" si="4">IFERROR(24*(E9-D9),0)</f>
        <v>0</v>
      </c>
      <c r="G9" s="54" t="str">
        <f ca="1">IFERROR(IF(C9="שבת",VLOOKUP(B9,'דוח הכנה chrome'!$T$3:$Y$39,6,0),IF(C9="יום שישי",VLOOKUP(B9,'דוח הכנה chrome'!$T$3:$Y$39,6,0),IF(VLOOKUP(B9&amp;"2",'דוח הכנה chrome'!$X$3:$Y$39,2,0)=D9,"",VLOOKUP(B9&amp;"2",'דוח הכנה chrome'!$X$3:$Y$39,2,0)))),"")</f>
        <v/>
      </c>
      <c r="H9" s="34" t="str">
        <f ca="1">IFERROR(IF(C9="שבת",VLOOKUP(B9,'דוח הכנה chrome'!$T$3:$Z$39,7,0),IF(C9="יום שישי",VLOOKUP(B9,'דוח הכנה chrome'!$T$3:$Z$39,7,0),IF(VLOOKUP(B9&amp;"2",'דוח הכנה chrome'!$X$3:$Z$39,3,0)=E9,"",VLOOKUP(B9&amp;"2",'דוח הכנה chrome'!$X$3:$Z$39,3,0)))),"")</f>
        <v/>
      </c>
      <c r="I9" s="32">
        <f t="shared" ref="I9" ca="1" si="5">IFERROR(24*(H9-G9),0)</f>
        <v>0</v>
      </c>
    </row>
    <row r="10" spans="1:45" x14ac:dyDescent="0.2">
      <c r="A10" s="38">
        <f t="shared" ca="1" si="0"/>
        <v>44749</v>
      </c>
      <c r="B10" s="47">
        <f ca="1">'דוח הכנה chrome'!T10</f>
        <v>44749</v>
      </c>
      <c r="C10" s="45" t="str">
        <f t="shared" ca="1" si="3"/>
        <v>Thursday</v>
      </c>
      <c r="D10" s="34" t="str">
        <f ca="1">IFERROR(IF(C10="שבת","",IF(C10="יום שישי","",VLOOKUP(B10,'דוח הכנה chrome'!$T$3:$Y$46,6,0))),"")</f>
        <v/>
      </c>
      <c r="E10" s="37" t="str">
        <f ca="1">IFERROR(IF(C10="שבת","",IF(C10="יום שישי","",VLOOKUP(B10,'דוח הכנה chrome'!$T$3:$Z$46,7,0))),"")</f>
        <v/>
      </c>
      <c r="F10" s="32">
        <f t="shared" ca="1" si="1"/>
        <v>0</v>
      </c>
      <c r="G10" s="54" t="str">
        <f ca="1">IFERROR(IF(C10="שבת",VLOOKUP(B10,'דוח הכנה chrome'!$T$3:$Y$39,6,0),IF(C10="יום שישי",VLOOKUP(B10,'דוח הכנה chrome'!$T$3:$Y$39,6,0),IF(VLOOKUP(B10&amp;"2",'דוח הכנה chrome'!$X$3:$Y$39,2,0)=D10,"",VLOOKUP(B10&amp;"2",'דוח הכנה chrome'!$X$3:$Y$39,2,0)))),"")</f>
        <v/>
      </c>
      <c r="H10" s="34" t="str">
        <f ca="1">IFERROR(IF(C10="שבת",VLOOKUP(B10,'דוח הכנה chrome'!$T$3:$Z$39,7,0),IF(C10="יום שישי",VLOOKUP(B10,'דוח הכנה chrome'!$T$3:$Z$39,7,0),IF(VLOOKUP(B10&amp;"2",'דוח הכנה chrome'!$X$3:$Z$39,3,0)=E10,"",VLOOKUP(B10&amp;"2",'דוח הכנה chrome'!$X$3:$Z$39,3,0)))),"")</f>
        <v/>
      </c>
      <c r="I10" s="32">
        <f t="shared" ca="1" si="2"/>
        <v>0</v>
      </c>
    </row>
    <row r="11" spans="1:45" x14ac:dyDescent="0.2">
      <c r="A11" s="38">
        <f t="shared" ca="1" si="0"/>
        <v>44750</v>
      </c>
      <c r="B11" s="47">
        <f ca="1">'דוח הכנה chrome'!T11</f>
        <v>44750</v>
      </c>
      <c r="C11" s="45" t="str">
        <f t="shared" ca="1" si="3"/>
        <v>Friday</v>
      </c>
      <c r="D11" s="34" t="str">
        <f ca="1">IFERROR(IF(C11="שבת","",IF(C11="יום שישי","",VLOOKUP(B11,'דוח הכנה chrome'!$T$3:$Y$46,6,0))),"")</f>
        <v>7:53</v>
      </c>
      <c r="E11" s="37" t="str">
        <f ca="1">IFERROR(IF(C11="שבת","",IF(C11="יום שישי","",VLOOKUP(B11,'דוח הכנה chrome'!$T$3:$Z$46,7,0))),"")</f>
        <v>17:09</v>
      </c>
      <c r="F11" s="32">
        <f t="shared" ca="1" si="1"/>
        <v>9.2666666666666639</v>
      </c>
      <c r="G11" s="54" t="str">
        <f ca="1">IFERROR(IF(C11="שבת",VLOOKUP(B11,'דוח הכנה chrome'!$T$3:$Y$39,6,0),IF(C11="יום שישי",VLOOKUP(B11,'דוח הכנה chrome'!$T$3:$Y$39,6,0),IF(VLOOKUP(B11&amp;"2",'דוח הכנה chrome'!$X$3:$Y$39,2,0)=D11,"",VLOOKUP(B11&amp;"2",'דוח הכנה chrome'!$X$3:$Y$39,2,0)))),"")</f>
        <v/>
      </c>
      <c r="H11" s="34" t="str">
        <f ca="1">IFERROR(IF(C11="שבת",VLOOKUP(B11,'דוח הכנה chrome'!$T$3:$Z$39,7,0),IF(C11="יום שישי",VLOOKUP(B11,'דוח הכנה chrome'!$T$3:$Z$39,7,0),IF(VLOOKUP(B11&amp;"2",'דוח הכנה chrome'!$X$3:$Z$39,3,0)=E11,"",VLOOKUP(B11&amp;"2",'דוח הכנה chrome'!$X$3:$Z$39,3,0)))),"")</f>
        <v/>
      </c>
      <c r="I11" s="32">
        <f t="shared" ca="1" si="2"/>
        <v>0</v>
      </c>
    </row>
    <row r="12" spans="1:45" x14ac:dyDescent="0.2">
      <c r="A12" s="38">
        <f t="shared" ca="1" si="0"/>
        <v>44751</v>
      </c>
      <c r="B12" s="47">
        <f ca="1">'דוח הכנה chrome'!T12</f>
        <v>44751</v>
      </c>
      <c r="C12" s="45" t="str">
        <f t="shared" ca="1" si="3"/>
        <v>Saturday</v>
      </c>
      <c r="D12" s="34" t="str">
        <f ca="1">IFERROR(IF(C12="שבת","",IF(C12="יום שישי","",VLOOKUP(B12,'דוח הכנה chrome'!$T$3:$Y$46,6,0))),"")</f>
        <v>7:48</v>
      </c>
      <c r="E12" s="37" t="str">
        <f ca="1">IFERROR(IF(C12="שבת","",IF(C12="יום שישי","",VLOOKUP(B12,'דוח הכנה chrome'!$T$3:$Z$46,7,0))),"")</f>
        <v>17:09</v>
      </c>
      <c r="F12" s="32">
        <f t="shared" ca="1" si="1"/>
        <v>9.3499999999999979</v>
      </c>
      <c r="G12" s="54" t="str">
        <f ca="1">IFERROR(IF(C12="שבת",VLOOKUP(B12,'דוח הכנה chrome'!$T$3:$Y$39,6,0),IF(C12="יום שישי",VLOOKUP(B12,'דוח הכנה chrome'!$T$3:$Y$39,6,0),IF(VLOOKUP(B12&amp;"2",'דוח הכנה chrome'!$X$3:$Y$39,2,0)=D12,"",VLOOKUP(B12&amp;"2",'דוח הכנה chrome'!$X$3:$Y$39,2,0)))),"")</f>
        <v/>
      </c>
      <c r="H12" s="34" t="str">
        <f ca="1">IFERROR(IF(C12="שבת",VLOOKUP(B12,'דוח הכנה chrome'!$T$3:$Z$39,7,0),IF(C12="יום שישי",VLOOKUP(B12,'דוח הכנה chrome'!$T$3:$Z$39,7,0),IF(VLOOKUP(B12&amp;"2",'דוח הכנה chrome'!$X$3:$Z$39,3,0)=E12,"",VLOOKUP(B12&amp;"2",'דוח הכנה chrome'!$X$3:$Z$39,3,0)))),"")</f>
        <v/>
      </c>
      <c r="I12" s="32">
        <f t="shared" ca="1" si="2"/>
        <v>0</v>
      </c>
    </row>
    <row r="13" spans="1:45" x14ac:dyDescent="0.2">
      <c r="A13" s="38">
        <f t="shared" ca="1" si="0"/>
        <v>44752</v>
      </c>
      <c r="B13" s="47">
        <f ca="1">'דוח הכנה chrome'!T13</f>
        <v>44752</v>
      </c>
      <c r="C13" s="45" t="str">
        <f t="shared" ca="1" si="3"/>
        <v>Sunday</v>
      </c>
      <c r="D13" s="34" t="str">
        <f ca="1">IFERROR(IF(C13="שבת","",IF(C13="יום שישי","",VLOOKUP(B13,'דוח הכנה chrome'!$T$3:$Y$46,6,0))),"")</f>
        <v>7:47</v>
      </c>
      <c r="E13" s="37" t="str">
        <f ca="1">IFERROR(IF(C13="שבת","",IF(C13="יום שישי","",VLOOKUP(B13,'דוח הכנה chrome'!$T$3:$Z$46,7,0))),"")</f>
        <v>17:09</v>
      </c>
      <c r="F13" s="32">
        <f t="shared" ca="1" si="1"/>
        <v>9.3666666666666636</v>
      </c>
      <c r="G13" s="54" t="str">
        <f ca="1">IFERROR(IF(C13="שבת",VLOOKUP(B13,'דוח הכנה chrome'!$T$3:$Y$39,6,0),IF(C13="יום שישי",VLOOKUP(B13,'דוח הכנה chrome'!$T$3:$Y$39,6,0),IF(VLOOKUP(B13&amp;"2",'דוח הכנה chrome'!$X$3:$Y$39,2,0)=D13,"",VLOOKUP(B13&amp;"2",'דוח הכנה chrome'!$X$3:$Y$39,2,0)))),"")</f>
        <v/>
      </c>
      <c r="H13" s="34" t="str">
        <f ca="1">IFERROR(IF(C13="שבת",VLOOKUP(B13,'דוח הכנה chrome'!$T$3:$Z$39,7,0),IF(C13="יום שישי",VLOOKUP(B13,'דוח הכנה chrome'!$T$3:$Z$39,7,0),IF(VLOOKUP(B13&amp;"2",'דוח הכנה chrome'!$X$3:$Z$39,3,0)=E13,"",VLOOKUP(B13&amp;"2",'דוח הכנה chrome'!$X$3:$Z$39,3,0)))),"")</f>
        <v/>
      </c>
      <c r="I13" s="32">
        <f t="shared" ca="1" si="2"/>
        <v>0</v>
      </c>
    </row>
    <row r="14" spans="1:45" x14ac:dyDescent="0.2">
      <c r="A14" s="38">
        <f t="shared" ca="1" si="0"/>
        <v>44753</v>
      </c>
      <c r="B14" s="47">
        <f ca="1">'דוח הכנה chrome'!T14</f>
        <v>44753</v>
      </c>
      <c r="C14" s="45" t="str">
        <f t="shared" ca="1" si="3"/>
        <v>Monday</v>
      </c>
      <c r="D14" s="34" t="str">
        <f ca="1">IFERROR(IF(C14="שבת","",IF(C14="יום שישי","",VLOOKUP(B14,'דוח הכנה chrome'!$T$3:$Y$46,6,0))),"")</f>
        <v>7:51</v>
      </c>
      <c r="E14" s="37" t="str">
        <f ca="1">IFERROR(IF(C14="שבת","",IF(C14="יום שישי","",VLOOKUP(B14,'דוח הכנה chrome'!$T$3:$Z$46,7,0))),"")</f>
        <v>17:00</v>
      </c>
      <c r="F14" s="32">
        <f t="shared" ca="1" si="1"/>
        <v>9.15</v>
      </c>
      <c r="G14" s="54" t="str">
        <f ca="1">IFERROR(IF(C14="שבת",VLOOKUP(B14,'דוח הכנה chrome'!$T$3:$Y$39,6,0),IF(C14="יום שישי",VLOOKUP(B14,'דוח הכנה chrome'!$T$3:$Y$39,6,0),IF(VLOOKUP(B14&amp;"2",'דוח הכנה chrome'!$X$3:$Y$39,2,0)=D14,"",VLOOKUP(B14&amp;"2",'דוח הכנה chrome'!$X$3:$Y$39,2,0)))),"")</f>
        <v/>
      </c>
      <c r="H14" s="34" t="str">
        <f ca="1">IFERROR(IF(C14="שבת",VLOOKUP(B14,'דוח הכנה chrome'!$T$3:$Z$39,7,0),IF(C14="יום שישי",VLOOKUP(B14,'דוח הכנה chrome'!$T$3:$Z$39,7,0),IF(VLOOKUP(B14&amp;"2",'דוח הכנה chrome'!$X$3:$Z$39,3,0)=E14,"",VLOOKUP(B14&amp;"2",'דוח הכנה chrome'!$X$3:$Z$39,3,0)))),"")</f>
        <v/>
      </c>
      <c r="I14" s="32">
        <f t="shared" ca="1" si="2"/>
        <v>0</v>
      </c>
    </row>
    <row r="15" spans="1:45" x14ac:dyDescent="0.2">
      <c r="A15" s="38">
        <f t="shared" ca="1" si="0"/>
        <v>44754</v>
      </c>
      <c r="B15" s="47">
        <f ca="1">'דוח הכנה chrome'!T15</f>
        <v>44754</v>
      </c>
      <c r="C15" s="45" t="str">
        <f t="shared" ca="1" si="3"/>
        <v>Tuesday</v>
      </c>
      <c r="D15" s="34" t="str">
        <f ca="1">IFERROR(IF(C15="שבת","",IF(C15="יום שישי","",VLOOKUP(B15,'דוח הכנה chrome'!$T$3:$Y$46,6,0))),"")</f>
        <v/>
      </c>
      <c r="E15" s="37" t="str">
        <f ca="1">IFERROR(IF(C15="שבת","",IF(C15="יום שישי","",VLOOKUP(B15,'דוח הכנה chrome'!$T$3:$Z$46,7,0))),"")</f>
        <v/>
      </c>
      <c r="F15" s="32">
        <f t="shared" ca="1" si="1"/>
        <v>0</v>
      </c>
      <c r="G15" s="54" t="str">
        <f ca="1">IFERROR(IF(C15="שבת",VLOOKUP(B15,'דוח הכנה chrome'!$T$3:$Y$39,6,0),IF(C15="יום שישי",VLOOKUP(B15,'דוח הכנה chrome'!$T$3:$Y$39,6,0),IF(VLOOKUP(B15&amp;"2",'דוח הכנה chrome'!$X$3:$Y$39,2,0)=D15,"",VLOOKUP(B15&amp;"2",'דוח הכנה chrome'!$X$3:$Y$39,2,0)))),"")</f>
        <v/>
      </c>
      <c r="H15" s="34" t="str">
        <f ca="1">IFERROR(IF(C15="שבת",VLOOKUP(B15,'דוח הכנה chrome'!$T$3:$Z$39,7,0),IF(C15="יום שישי",VLOOKUP(B15,'דוח הכנה chrome'!$T$3:$Z$39,7,0),IF(VLOOKUP(B15&amp;"2",'דוח הכנה chrome'!$X$3:$Z$39,3,0)=E15,"",VLOOKUP(B15&amp;"2",'דוח הכנה chrome'!$X$3:$Z$39,3,0)))),"")</f>
        <v/>
      </c>
      <c r="I15" s="32">
        <f t="shared" ca="1" si="2"/>
        <v>0</v>
      </c>
    </row>
    <row r="16" spans="1:45" x14ac:dyDescent="0.2">
      <c r="A16" s="38">
        <f t="shared" ca="1" si="0"/>
        <v>44755</v>
      </c>
      <c r="B16" s="47">
        <f ca="1">'דוח הכנה chrome'!T16</f>
        <v>44755</v>
      </c>
      <c r="C16" s="45" t="str">
        <f t="shared" ca="1" si="3"/>
        <v>Wednesday</v>
      </c>
      <c r="D16" s="34" t="str">
        <f ca="1">IFERROR(IF(C16="שבת","",IF(C16="יום שישי","",VLOOKUP(B16,'דוח הכנה chrome'!$T$3:$Y$46,6,0))),"")</f>
        <v/>
      </c>
      <c r="E16" s="37" t="str">
        <f ca="1">IFERROR(IF(C16="שבת","",IF(C16="יום שישי","",VLOOKUP(B16,'דוח הכנה chrome'!$T$3:$Z$46,7,0))),"")</f>
        <v/>
      </c>
      <c r="F16" s="32">
        <f t="shared" ref="F16" ca="1" si="6">IFERROR(24*(E16-D16),0)</f>
        <v>0</v>
      </c>
      <c r="G16" s="54" t="str">
        <f ca="1">IFERROR(IF(C16="שבת",VLOOKUP(B16,'דוח הכנה chrome'!$T$3:$Y$39,6,0),IF(C16="יום שישי",VLOOKUP(B16,'דוח הכנה chrome'!$T$3:$Y$39,6,0),IF(VLOOKUP(B16&amp;"2",'דוח הכנה chrome'!$X$3:$Y$39,2,0)=D16,"",VLOOKUP(B16&amp;"2",'דוח הכנה chrome'!$X$3:$Y$39,2,0)))),"")</f>
        <v/>
      </c>
      <c r="H16" s="34" t="str">
        <f ca="1">IFERROR(IF(C16="שבת",VLOOKUP(B16,'דוח הכנה chrome'!$T$3:$Z$39,7,0),IF(C16="יום שישי",VLOOKUP(B16,'דוח הכנה chrome'!$T$3:$Z$39,7,0),IF(VLOOKUP(B16&amp;"2",'דוח הכנה chrome'!$X$3:$Z$39,3,0)=E16,"",VLOOKUP(B16&amp;"2",'דוח הכנה chrome'!$X$3:$Z$39,3,0)))),"")</f>
        <v/>
      </c>
      <c r="I16" s="32">
        <f t="shared" ref="I16" ca="1" si="7">IFERROR(24*(H16-G16),0)</f>
        <v>0</v>
      </c>
    </row>
    <row r="17" spans="1:9" x14ac:dyDescent="0.2">
      <c r="A17" s="38">
        <f t="shared" ca="1" si="0"/>
        <v>44756</v>
      </c>
      <c r="B17" s="47">
        <f ca="1">'דוח הכנה chrome'!T17</f>
        <v>44756</v>
      </c>
      <c r="C17" s="45" t="str">
        <f t="shared" ca="1" si="3"/>
        <v>Thursday</v>
      </c>
      <c r="D17" s="34" t="str">
        <f ca="1">IFERROR(IF(C17="שבת","",IF(C17="יום שישי","",VLOOKUP(B17,'דוח הכנה chrome'!$T$3:$Y$46,6,0))),"")</f>
        <v/>
      </c>
      <c r="E17" s="37" t="str">
        <f ca="1">IFERROR(IF(C17="שבת","",IF(C17="יום שישי","",VLOOKUP(B17,'דוח הכנה chrome'!$T$3:$Z$46,7,0))),"")</f>
        <v/>
      </c>
      <c r="F17" s="32">
        <f t="shared" ca="1" si="1"/>
        <v>0</v>
      </c>
      <c r="G17" s="54" t="str">
        <f ca="1">IFERROR(IF(C17="שבת",VLOOKUP(B17,'דוח הכנה chrome'!$T$3:$Y$39,6,0),IF(C17="יום שישי",VLOOKUP(B17,'דוח הכנה chrome'!$T$3:$Y$39,6,0),IF(VLOOKUP(B17&amp;"2",'דוח הכנה chrome'!$X$3:$Y$39,2,0)=D17,"",VLOOKUP(B17&amp;"2",'דוח הכנה chrome'!$X$3:$Y$39,2,0)))),"")</f>
        <v/>
      </c>
      <c r="H17" s="34" t="str">
        <f ca="1">IFERROR(IF(C17="שבת",VLOOKUP(B17,'דוח הכנה chrome'!$T$3:$Z$39,7,0),IF(C17="יום שישי",VLOOKUP(B17,'דוח הכנה chrome'!$T$3:$Z$39,7,0),IF(VLOOKUP(B17&amp;"2",'דוח הכנה chrome'!$X$3:$Z$39,3,0)=E17,"",VLOOKUP(B17&amp;"2",'דוח הכנה chrome'!$X$3:$Z$39,3,0)))),"")</f>
        <v/>
      </c>
      <c r="I17" s="32">
        <f t="shared" ca="1" si="2"/>
        <v>0</v>
      </c>
    </row>
    <row r="18" spans="1:9" x14ac:dyDescent="0.2">
      <c r="A18" s="38">
        <f t="shared" ca="1" si="0"/>
        <v>44756</v>
      </c>
      <c r="B18" s="47">
        <f ca="1">'דוח הכנה chrome'!T18</f>
        <v>44756</v>
      </c>
      <c r="C18" s="45" t="str">
        <f t="shared" ca="1" si="3"/>
        <v>Thursday</v>
      </c>
      <c r="D18" s="34" t="str">
        <f ca="1">IFERROR(IF(C18="שבת","",IF(C18="יום שישי","",VLOOKUP(B18,'דוח הכנה chrome'!$T$3:$Y$46,6,0))),"")</f>
        <v/>
      </c>
      <c r="E18" s="37" t="str">
        <f ca="1">IFERROR(IF(C18="שבת","",IF(C18="יום שישי","",VLOOKUP(B18,'דוח הכנה chrome'!$T$3:$Z$46,7,0))),"")</f>
        <v/>
      </c>
      <c r="F18" s="32">
        <f t="shared" ca="1" si="1"/>
        <v>0</v>
      </c>
      <c r="G18" s="54" t="str">
        <f ca="1">IFERROR(IF(C18="שבת",VLOOKUP(B18,'דוח הכנה chrome'!$T$3:$Y$39,6,0),IF(C18="יום שישי",VLOOKUP(B18,'דוח הכנה chrome'!$T$3:$Y$39,6,0),IF(VLOOKUP(B18&amp;"2",'דוח הכנה chrome'!$X$3:$Y$39,2,0)=D18,"",VLOOKUP(B18&amp;"2",'דוח הכנה chrome'!$X$3:$Y$39,2,0)))),"")</f>
        <v/>
      </c>
      <c r="H18" s="34" t="str">
        <f ca="1">IFERROR(IF(C18="שבת",VLOOKUP(B18,'דוח הכנה chrome'!$T$3:$Z$39,7,0),IF(C18="יום שישי",VLOOKUP(B18,'דוח הכנה chrome'!$T$3:$Z$39,7,0),IF(VLOOKUP(B18&amp;"2",'דוח הכנה chrome'!$X$3:$Z$39,3,0)=E18,"",VLOOKUP(B18&amp;"2",'דוח הכנה chrome'!$X$3:$Z$39,3,0)))),"")</f>
        <v/>
      </c>
      <c r="I18" s="32">
        <f t="shared" ca="1" si="2"/>
        <v>0</v>
      </c>
    </row>
    <row r="19" spans="1:9" x14ac:dyDescent="0.2">
      <c r="A19" s="38">
        <f t="shared" ca="1" si="0"/>
        <v>44757</v>
      </c>
      <c r="B19" s="47">
        <f ca="1">'דוח הכנה chrome'!T19</f>
        <v>44757</v>
      </c>
      <c r="C19" s="45" t="str">
        <f t="shared" ca="1" si="3"/>
        <v>Friday</v>
      </c>
      <c r="D19" s="34" t="str">
        <f ca="1">IFERROR(IF(C19="שבת","",IF(C19="יום שישי","",VLOOKUP(B19,'דוח הכנה chrome'!$T$3:$Y$46,6,0))),"")</f>
        <v/>
      </c>
      <c r="E19" s="37" t="str">
        <f ca="1">IFERROR(IF(C19="שבת","",IF(C19="יום שישי","",VLOOKUP(B19,'דוח הכנה chrome'!$T$3:$Z$46,7,0))),"")</f>
        <v/>
      </c>
      <c r="F19" s="32">
        <f t="shared" ca="1" si="1"/>
        <v>0</v>
      </c>
      <c r="G19" s="54" t="str">
        <f ca="1">IFERROR(IF(C19="שבת",VLOOKUP(B19,'דוח הכנה chrome'!$T$3:$Y$39,6,0),IF(C19="יום שישי",VLOOKUP(B19,'דוח הכנה chrome'!$T$3:$Y$39,6,0),IF(VLOOKUP(B19&amp;"2",'דוח הכנה chrome'!$X$3:$Y$39,2,0)=D19,"",VLOOKUP(B19&amp;"2",'דוח הכנה chrome'!$X$3:$Y$39,2,0)))),"")</f>
        <v/>
      </c>
      <c r="H19" s="34" t="str">
        <f ca="1">IFERROR(IF(C19="שבת",VLOOKUP(B19,'דוח הכנה chrome'!$T$3:$Z$39,7,0),IF(C19="יום שישי",VLOOKUP(B19,'דוח הכנה chrome'!$T$3:$Z$39,7,0),IF(VLOOKUP(B19&amp;"2",'דוח הכנה chrome'!$X$3:$Z$39,3,0)=E19,"",VLOOKUP(B19&amp;"2",'דוח הכנה chrome'!$X$3:$Z$39,3,0)))),"")</f>
        <v/>
      </c>
      <c r="I19" s="32">
        <f t="shared" ca="1" si="2"/>
        <v>0</v>
      </c>
    </row>
    <row r="20" spans="1:9" x14ac:dyDescent="0.2">
      <c r="A20" s="38">
        <f t="shared" ca="1" si="0"/>
        <v>44758</v>
      </c>
      <c r="B20" s="47">
        <f ca="1">'דוח הכנה chrome'!T20</f>
        <v>44758</v>
      </c>
      <c r="C20" s="45" t="str">
        <f t="shared" ca="1" si="3"/>
        <v>Saturday</v>
      </c>
      <c r="D20" s="34" t="str">
        <f ca="1">IFERROR(IF(C20="שבת","",IF(C20="יום שישי","",VLOOKUP(B20,'דוח הכנה chrome'!$T$3:$Y$46,6,0))),"")</f>
        <v/>
      </c>
      <c r="E20" s="37" t="str">
        <f ca="1">IFERROR(IF(C20="שבת","",IF(C20="יום שישי","",VLOOKUP(B20,'דוח הכנה chrome'!$T$3:$Z$46,7,0))),"")</f>
        <v/>
      </c>
      <c r="F20" s="32">
        <f t="shared" ca="1" si="1"/>
        <v>0</v>
      </c>
      <c r="G20" s="54" t="str">
        <f ca="1">IFERROR(IF(C20="שבת",VLOOKUP(B20,'דוח הכנה chrome'!$T$3:$Y$39,6,0),IF(C20="יום שישי",VLOOKUP(B20,'דוח הכנה chrome'!$T$3:$Y$39,6,0),IF(VLOOKUP(B20&amp;"2",'דוח הכנה chrome'!$X$3:$Y$39,2,0)=D20,"",VLOOKUP(B20&amp;"2",'דוח הכנה chrome'!$X$3:$Y$39,2,0)))),"")</f>
        <v/>
      </c>
      <c r="H20" s="34" t="str">
        <f ca="1">IFERROR(IF(C20="שבת",VLOOKUP(B20,'דוח הכנה chrome'!$T$3:$Z$39,7,0),IF(C20="יום שישי",VLOOKUP(B20,'דוח הכנה chrome'!$T$3:$Z$39,7,0),IF(VLOOKUP(B20&amp;"2",'דוח הכנה chrome'!$X$3:$Z$39,3,0)=E20,"",VLOOKUP(B20&amp;"2",'דוח הכנה chrome'!$X$3:$Z$39,3,0)))),"")</f>
        <v/>
      </c>
      <c r="I20" s="32">
        <f t="shared" ca="1" si="2"/>
        <v>0</v>
      </c>
    </row>
    <row r="21" spans="1:9" x14ac:dyDescent="0.2">
      <c r="A21" s="38">
        <f t="shared" ca="1" si="0"/>
        <v>44759</v>
      </c>
      <c r="B21" s="47">
        <f ca="1">'דוח הכנה chrome'!T21</f>
        <v>44759</v>
      </c>
      <c r="C21" s="45" t="str">
        <f t="shared" ca="1" si="3"/>
        <v>Sunday</v>
      </c>
      <c r="D21" s="34" t="str">
        <f ca="1">IFERROR(IF(C21="שבת","",IF(C21="יום שישי","",VLOOKUP(B21,'דוח הכנה chrome'!$T$3:$Y$46,6,0))),"")</f>
        <v/>
      </c>
      <c r="E21" s="37" t="str">
        <f ca="1">IFERROR(IF(C21="שבת","",IF(C21="יום שישי","",VLOOKUP(B21,'דוח הכנה chrome'!$T$3:$Z$46,7,0))),"")</f>
        <v/>
      </c>
      <c r="F21" s="32">
        <f t="shared" ca="1" si="1"/>
        <v>0</v>
      </c>
      <c r="G21" s="54" t="str">
        <f ca="1">IFERROR(IF(C21="שבת",VLOOKUP(B21,'דוח הכנה chrome'!$T$3:$Y$39,6,0),IF(C21="יום שישי",VLOOKUP(B21,'דוח הכנה chrome'!$T$3:$Y$39,6,0),IF(VLOOKUP(B21&amp;"2",'דוח הכנה chrome'!$X$3:$Y$39,2,0)=D21,"",VLOOKUP(B21&amp;"2",'דוח הכנה chrome'!$X$3:$Y$39,2,0)))),"")</f>
        <v/>
      </c>
      <c r="H21" s="34" t="str">
        <f ca="1">IFERROR(IF(C21="שבת",VLOOKUP(B21,'דוח הכנה chrome'!$T$3:$Z$39,7,0),IF(C21="יום שישי",VLOOKUP(B21,'דוח הכנה chrome'!$T$3:$Z$39,7,0),IF(VLOOKUP(B21&amp;"2",'דוח הכנה chrome'!$X$3:$Z$39,3,0)=E21,"",VLOOKUP(B21&amp;"2",'דוח הכנה chrome'!$X$3:$Z$39,3,0)))),"")</f>
        <v/>
      </c>
      <c r="I21" s="32">
        <f t="shared" ca="1" si="2"/>
        <v>0</v>
      </c>
    </row>
    <row r="22" spans="1:9" x14ac:dyDescent="0.2">
      <c r="A22" s="38">
        <f t="shared" ca="1" si="0"/>
        <v>44760</v>
      </c>
      <c r="B22" s="47">
        <f ca="1">'דוח הכנה chrome'!T22</f>
        <v>44760</v>
      </c>
      <c r="C22" s="45" t="str">
        <f t="shared" ca="1" si="3"/>
        <v>Monday</v>
      </c>
      <c r="D22" s="34" t="str">
        <f ca="1">IFERROR(IF(C22="שבת","",IF(C22="יום שישי","",VLOOKUP(B22,'דוח הכנה chrome'!$T$3:$Y$46,6,0))),"")</f>
        <v/>
      </c>
      <c r="E22" s="37" t="str">
        <f ca="1">IFERROR(IF(C22="שבת","",IF(C22="יום שישי","",VLOOKUP(B22,'דוח הכנה chrome'!$T$3:$Z$46,7,0))),"")</f>
        <v/>
      </c>
      <c r="F22" s="32">
        <f t="shared" ca="1" si="1"/>
        <v>0</v>
      </c>
      <c r="G22" s="54" t="str">
        <f ca="1">IFERROR(IF(C22="שבת",VLOOKUP(B22,'דוח הכנה chrome'!$T$3:$Y$39,6,0),IF(C22="יום שישי",VLOOKUP(B22,'דוח הכנה chrome'!$T$3:$Y$39,6,0),IF(VLOOKUP(B22&amp;"2",'דוח הכנה chrome'!$X$3:$Y$39,2,0)=D22,"",VLOOKUP(B22&amp;"2",'דוח הכנה chrome'!$X$3:$Y$39,2,0)))),"")</f>
        <v/>
      </c>
      <c r="H22" s="34" t="str">
        <f ca="1">IFERROR(IF(C22="שבת",VLOOKUP(B22,'דוח הכנה chrome'!$T$3:$Z$39,7,0),IF(C22="יום שישי",VLOOKUP(B22,'דוח הכנה chrome'!$T$3:$Z$39,7,0),IF(VLOOKUP(B22&amp;"2",'דוח הכנה chrome'!$X$3:$Z$39,3,0)=E22,"",VLOOKUP(B22&amp;"2",'דוח הכנה chrome'!$X$3:$Z$39,3,0)))),"")</f>
        <v/>
      </c>
      <c r="I22" s="32">
        <f t="shared" ca="1" si="2"/>
        <v>0</v>
      </c>
    </row>
    <row r="23" spans="1:9" x14ac:dyDescent="0.2">
      <c r="A23" s="38">
        <f t="shared" ca="1" si="0"/>
        <v>44761</v>
      </c>
      <c r="B23" s="47">
        <f ca="1">'דוח הכנה chrome'!T23</f>
        <v>44761</v>
      </c>
      <c r="C23" s="45" t="str">
        <f t="shared" ca="1" si="3"/>
        <v>Tuesday</v>
      </c>
      <c r="D23" s="34" t="str">
        <f ca="1">IFERROR(IF(C23="שבת","",IF(C23="יום שישי","",VLOOKUP(B23,'דוח הכנה chrome'!$T$3:$Y$46,6,0))),"")</f>
        <v/>
      </c>
      <c r="E23" s="37" t="str">
        <f ca="1">IFERROR(IF(C23="שבת","",IF(C23="יום שישי","",VLOOKUP(B23,'דוח הכנה chrome'!$T$3:$Z$46,7,0))),"")</f>
        <v/>
      </c>
      <c r="F23" s="32">
        <f t="shared" ca="1" si="1"/>
        <v>0</v>
      </c>
      <c r="G23" s="54" t="str">
        <f ca="1">IFERROR(IF(C23="שבת",VLOOKUP(B23,'דוח הכנה chrome'!$T$3:$Y$39,6,0),IF(C23="יום שישי",VLOOKUP(B23,'דוח הכנה chrome'!$T$3:$Y$39,6,0),IF(VLOOKUP(B23&amp;"2",'דוח הכנה chrome'!$X$3:$Y$39,2,0)=D23,"",VLOOKUP(B23&amp;"2",'דוח הכנה chrome'!$X$3:$Y$39,2,0)))),"")</f>
        <v/>
      </c>
      <c r="H23" s="34" t="str">
        <f ca="1">IFERROR(IF(C23="שבת",VLOOKUP(B23,'דוח הכנה chrome'!$T$3:$Z$39,7,0),IF(C23="יום שישי",VLOOKUP(B23,'דוח הכנה chrome'!$T$3:$Z$39,7,0),IF(VLOOKUP(B23&amp;"2",'דוח הכנה chrome'!$X$3:$Z$39,3,0)=E23,"",VLOOKUP(B23&amp;"2",'דוח הכנה chrome'!$X$3:$Z$39,3,0)))),"")</f>
        <v/>
      </c>
      <c r="I23" s="32">
        <f t="shared" ca="1" si="2"/>
        <v>0</v>
      </c>
    </row>
    <row r="24" spans="1:9" x14ac:dyDescent="0.2">
      <c r="A24" s="38">
        <f t="shared" ca="1" si="0"/>
        <v>44762</v>
      </c>
      <c r="B24" s="47">
        <f ca="1">'דוח הכנה chrome'!T24</f>
        <v>44762</v>
      </c>
      <c r="C24" s="45" t="str">
        <f t="shared" ca="1" si="3"/>
        <v>Wednesday</v>
      </c>
      <c r="D24" s="34" t="str">
        <f ca="1">IFERROR(IF(C24="שבת","",IF(C24="יום שישי","",VLOOKUP(B24,'דוח הכנה chrome'!$T$3:$Y$46,6,0))),"")</f>
        <v/>
      </c>
      <c r="E24" s="37" t="str">
        <f ca="1">IFERROR(IF(C24="שבת","",IF(C24="יום שישי","",VLOOKUP(B24,'דוח הכנה chrome'!$T$3:$Z$46,7,0))),"")</f>
        <v/>
      </c>
      <c r="F24" s="32">
        <f t="shared" ca="1" si="1"/>
        <v>0</v>
      </c>
      <c r="G24" s="54" t="str">
        <f ca="1">IFERROR(IF(C24="שבת",VLOOKUP(B24,'דוח הכנה chrome'!$T$3:$Y$39,6,0),IF(C24="יום שישי",VLOOKUP(B24,'דוח הכנה chrome'!$T$3:$Y$39,6,0),IF(VLOOKUP(B24&amp;"2",'דוח הכנה chrome'!$X$3:$Y$39,2,0)=D24,"",VLOOKUP(B24&amp;"2",'דוח הכנה chrome'!$X$3:$Y$39,2,0)))),"")</f>
        <v/>
      </c>
      <c r="H24" s="34" t="str">
        <f ca="1">IFERROR(IF(C24="שבת",VLOOKUP(B24,'דוח הכנה chrome'!$T$3:$Z$39,7,0),IF(C24="יום שישי",VLOOKUP(B24,'דוח הכנה chrome'!$T$3:$Z$39,7,0),IF(VLOOKUP(B24&amp;"2",'דוח הכנה chrome'!$X$3:$Z$39,3,0)=E24,"",VLOOKUP(B24&amp;"2",'דוח הכנה chrome'!$X$3:$Z$39,3,0)))),"")</f>
        <v/>
      </c>
      <c r="I24" s="32">
        <f t="shared" ca="1" si="2"/>
        <v>0</v>
      </c>
    </row>
    <row r="25" spans="1:9" x14ac:dyDescent="0.2">
      <c r="A25" s="38">
        <f t="shared" ca="1" si="0"/>
        <v>44763</v>
      </c>
      <c r="B25" s="47">
        <f ca="1">'דוח הכנה chrome'!T25</f>
        <v>44763</v>
      </c>
      <c r="C25" s="45" t="str">
        <f t="shared" ca="1" si="3"/>
        <v>Thursday</v>
      </c>
      <c r="D25" s="34" t="str">
        <f ca="1">IFERROR(IF(C25="שבת","",IF(C25="יום שישי","",VLOOKUP(B25,'דוח הכנה chrome'!$T$3:$Y$46,6,0))),"")</f>
        <v/>
      </c>
      <c r="E25" s="37" t="str">
        <f ca="1">IFERROR(IF(C25="שבת","",IF(C25="יום שישי","",VLOOKUP(B25,'דוח הכנה chrome'!$T$3:$Z$46,7,0))),"")</f>
        <v/>
      </c>
      <c r="F25" s="32">
        <f t="shared" ref="F25" ca="1" si="8">IFERROR(24*(E25-D25),0)</f>
        <v>0</v>
      </c>
      <c r="G25" s="54" t="str">
        <f ca="1">IFERROR(IF(C25="שבת",VLOOKUP(B25,'דוח הכנה chrome'!$T$3:$Y$39,6,0),IF(C25="יום שישי",VLOOKUP(B25,'דוח הכנה chrome'!$T$3:$Y$39,6,0),IF(VLOOKUP(B25&amp;"2",'דוח הכנה chrome'!$X$3:$Y$39,2,0)=D25,"",VLOOKUP(B25&amp;"2",'דוח הכנה chrome'!$X$3:$Y$39,2,0)))),"")</f>
        <v/>
      </c>
      <c r="H25" s="34" t="str">
        <f ca="1">IFERROR(IF(C25="שבת",VLOOKUP(B25,'דוח הכנה chrome'!$T$3:$Z$39,7,0),IF(C25="יום שישי",VLOOKUP(B25,'דוח הכנה chrome'!$T$3:$Z$39,7,0),IF(VLOOKUP(B25&amp;"2",'דוח הכנה chrome'!$X$3:$Z$39,3,0)=E25,"",VLOOKUP(B25&amp;"2",'דוח הכנה chrome'!$X$3:$Z$39,3,0)))),"")</f>
        <v/>
      </c>
      <c r="I25" s="32">
        <f t="shared" ref="I25" ca="1" si="9">IFERROR(24*(H25-G25),0)</f>
        <v>0</v>
      </c>
    </row>
    <row r="26" spans="1:9" x14ac:dyDescent="0.2">
      <c r="A26" s="38">
        <f t="shared" ca="1" si="0"/>
        <v>44763</v>
      </c>
      <c r="B26" s="47">
        <f ca="1">'דוח הכנה chrome'!T26</f>
        <v>44763</v>
      </c>
      <c r="C26" s="45" t="str">
        <f t="shared" ca="1" si="3"/>
        <v>Thursday</v>
      </c>
      <c r="D26" s="34" t="str">
        <f ca="1">IFERROR(IF(C26="שבת","",IF(C26="יום שישי","",VLOOKUP(B26,'דוח הכנה chrome'!$T$3:$Y$46,6,0))),"")</f>
        <v/>
      </c>
      <c r="E26" s="37" t="str">
        <f ca="1">IFERROR(IF(C26="שבת","",IF(C26="יום שישי","",VLOOKUP(B26,'דוח הכנה chrome'!$T$3:$Z$46,7,0))),"")</f>
        <v/>
      </c>
      <c r="F26" s="32">
        <f t="shared" ca="1" si="1"/>
        <v>0</v>
      </c>
      <c r="G26" s="54" t="str">
        <f ca="1">IFERROR(IF(C26="שבת",VLOOKUP(B26,'דוח הכנה chrome'!$T$3:$Y$39,6,0),IF(C26="יום שישי",VLOOKUP(B26,'דוח הכנה chrome'!$T$3:$Y$39,6,0),IF(VLOOKUP(B26&amp;"2",'דוח הכנה chrome'!$X$3:$Y$39,2,0)=D26,"",VLOOKUP(B26&amp;"2",'דוח הכנה chrome'!$X$3:$Y$39,2,0)))),"")</f>
        <v/>
      </c>
      <c r="H26" s="34" t="str">
        <f ca="1">IFERROR(IF(C26="שבת",VLOOKUP(B26,'דוח הכנה chrome'!$T$3:$Z$39,7,0),IF(C26="יום שישי",VLOOKUP(B26,'דוח הכנה chrome'!$T$3:$Z$39,7,0),IF(VLOOKUP(B26&amp;"2",'דוח הכנה chrome'!$X$3:$Z$39,3,0)=E26,"",VLOOKUP(B26&amp;"2",'דוח הכנה chrome'!$X$3:$Z$39,3,0)))),"")</f>
        <v/>
      </c>
      <c r="I26" s="32">
        <f t="shared" ca="1" si="2"/>
        <v>0</v>
      </c>
    </row>
    <row r="27" spans="1:9" x14ac:dyDescent="0.2">
      <c r="A27" s="38">
        <f t="shared" ca="1" si="0"/>
        <v>44764</v>
      </c>
      <c r="B27" s="47">
        <f ca="1">'דוח הכנה chrome'!T27</f>
        <v>44764</v>
      </c>
      <c r="C27" s="45" t="str">
        <f t="shared" ca="1" si="3"/>
        <v>Friday</v>
      </c>
      <c r="D27" s="34" t="str">
        <f ca="1">IFERROR(IF(C27="שבת","",IF(C27="יום שישי","",VLOOKUP(B27,'דוח הכנה chrome'!$T$3:$Y$46,6,0))),"")</f>
        <v/>
      </c>
      <c r="E27" s="37" t="str">
        <f ca="1">IFERROR(IF(C27="שבת","",IF(C27="יום שישי","",VLOOKUP(B27,'דוח הכנה chrome'!$T$3:$Z$46,7,0))),"")</f>
        <v/>
      </c>
      <c r="F27" s="32">
        <f t="shared" ca="1" si="1"/>
        <v>0</v>
      </c>
      <c r="G27" s="54" t="str">
        <f ca="1">IFERROR(IF(C27="שבת",VLOOKUP(B27,'דוח הכנה chrome'!$T$3:$Y$39,6,0),IF(C27="יום שישי",VLOOKUP(B27,'דוח הכנה chrome'!$T$3:$Y$39,6,0),IF(VLOOKUP(B27&amp;"2",'דוח הכנה chrome'!$X$3:$Y$39,2,0)=D27,"",VLOOKUP(B27&amp;"2",'דוח הכנה chrome'!$X$3:$Y$39,2,0)))),"")</f>
        <v/>
      </c>
      <c r="H27" s="34" t="str">
        <f ca="1">IFERROR(IF(C27="שבת",VLOOKUP(B27,'דוח הכנה chrome'!$T$3:$Z$39,7,0),IF(C27="יום שישי",VLOOKUP(B27,'דוח הכנה chrome'!$T$3:$Z$39,7,0),IF(VLOOKUP(B27&amp;"2",'דוח הכנה chrome'!$X$3:$Z$39,3,0)=E27,"",VLOOKUP(B27&amp;"2",'דוח הכנה chrome'!$X$3:$Z$39,3,0)))),"")</f>
        <v/>
      </c>
      <c r="I27" s="32">
        <f t="shared" ca="1" si="2"/>
        <v>0</v>
      </c>
    </row>
    <row r="28" spans="1:9" x14ac:dyDescent="0.2">
      <c r="A28" s="38">
        <f t="shared" ca="1" si="0"/>
        <v>44765</v>
      </c>
      <c r="B28" s="47">
        <f ca="1">'דוח הכנה chrome'!T28</f>
        <v>44765</v>
      </c>
      <c r="C28" s="45" t="str">
        <f t="shared" ca="1" si="3"/>
        <v>Saturday</v>
      </c>
      <c r="D28" s="34" t="str">
        <f ca="1">IFERROR(IF(C28="שבת","",IF(C28="יום שישי","",VLOOKUP(B28,'דוח הכנה chrome'!$T$3:$Y$46,6,0))),"")</f>
        <v/>
      </c>
      <c r="E28" s="37" t="str">
        <f ca="1">IFERROR(IF(C28="שבת","",IF(C28="יום שישי","",VLOOKUP(B28,'דוח הכנה chrome'!$T$3:$Z$46,7,0))),"")</f>
        <v/>
      </c>
      <c r="F28" s="32">
        <f t="shared" ca="1" si="1"/>
        <v>0</v>
      </c>
      <c r="G28" s="54" t="str">
        <f ca="1">IFERROR(IF(C28="שבת",VLOOKUP(B28,'דוח הכנה chrome'!$T$3:$Y$39,6,0),IF(C28="יום שישי",VLOOKUP(B28,'דוח הכנה chrome'!$T$3:$Y$39,6,0),IF(VLOOKUP(B28&amp;"2",'דוח הכנה chrome'!$X$3:$Y$39,2,0)=D28,"",VLOOKUP(B28&amp;"2",'דוח הכנה chrome'!$X$3:$Y$39,2,0)))),"")</f>
        <v/>
      </c>
      <c r="H28" s="34" t="str">
        <f ca="1">IFERROR(IF(C28="שבת",VLOOKUP(B28,'דוח הכנה chrome'!$T$3:$Z$39,7,0),IF(C28="יום שישי",VLOOKUP(B28,'דוח הכנה chrome'!$T$3:$Z$39,7,0),IF(VLOOKUP(B28&amp;"2",'דוח הכנה chrome'!$X$3:$Z$39,3,0)=E28,"",VLOOKUP(B28&amp;"2",'דוח הכנה chrome'!$X$3:$Z$39,3,0)))),"")</f>
        <v/>
      </c>
      <c r="I28" s="32">
        <f t="shared" ca="1" si="2"/>
        <v>0</v>
      </c>
    </row>
    <row r="29" spans="1:9" x14ac:dyDescent="0.2">
      <c r="A29" s="38">
        <f t="shared" ca="1" si="0"/>
        <v>44766</v>
      </c>
      <c r="B29" s="47">
        <f ca="1">'דוח הכנה chrome'!T29</f>
        <v>44766</v>
      </c>
      <c r="C29" s="45" t="str">
        <f t="shared" ca="1" si="3"/>
        <v>Sunday</v>
      </c>
      <c r="D29" s="34" t="str">
        <f ca="1">IFERROR(IF(C29="שבת","",IF(C29="יום שישי","",VLOOKUP(B29,'דוח הכנה chrome'!$T$3:$Y$46,6,0))),"")</f>
        <v/>
      </c>
      <c r="E29" s="37" t="str">
        <f ca="1">IFERROR(IF(C29="שבת","",IF(C29="יום שישי","",VLOOKUP(B29,'דוח הכנה chrome'!$T$3:$Z$46,7,0))),"")</f>
        <v/>
      </c>
      <c r="F29" s="32">
        <f t="shared" ca="1" si="1"/>
        <v>0</v>
      </c>
      <c r="G29" s="54" t="str">
        <f ca="1">IFERROR(IF(C29="שבת",VLOOKUP(B29,'דוח הכנה chrome'!$T$3:$Y$39,6,0),IF(C29="יום שישי",VLOOKUP(B29,'דוח הכנה chrome'!$T$3:$Y$39,6,0),IF(VLOOKUP(B29&amp;"2",'דוח הכנה chrome'!$X$3:$Y$39,2,0)=D29,"",VLOOKUP(B29&amp;"2",'דוח הכנה chrome'!$X$3:$Y$39,2,0)))),"")</f>
        <v/>
      </c>
      <c r="H29" s="34" t="str">
        <f ca="1">IFERROR(IF(C29="שבת",VLOOKUP(B29,'דוח הכנה chrome'!$T$3:$Z$39,7,0),IF(C29="יום שישי",VLOOKUP(B29,'דוח הכנה chrome'!$T$3:$Z$39,7,0),IF(VLOOKUP(B29&amp;"2",'דוח הכנה chrome'!$X$3:$Z$39,3,0)=E29,"",VLOOKUP(B29&amp;"2",'דוח הכנה chrome'!$X$3:$Z$39,3,0)))),"")</f>
        <v/>
      </c>
      <c r="I29" s="32">
        <f t="shared" ca="1" si="2"/>
        <v>0</v>
      </c>
    </row>
    <row r="30" spans="1:9" x14ac:dyDescent="0.2">
      <c r="A30" s="38">
        <f t="shared" ca="1" si="0"/>
        <v>44767</v>
      </c>
      <c r="B30" s="47">
        <f ca="1">'דוח הכנה chrome'!T30</f>
        <v>44767</v>
      </c>
      <c r="C30" s="45" t="str">
        <f t="shared" ca="1" si="3"/>
        <v>Monday</v>
      </c>
      <c r="D30" s="34" t="str">
        <f ca="1">IFERROR(IF(C30="שבת","",IF(C30="יום שישי","",VLOOKUP(B30,'דוח הכנה chrome'!$T$3:$Y$46,6,0))),"")</f>
        <v/>
      </c>
      <c r="E30" s="37" t="str">
        <f ca="1">IFERROR(IF(C30="שבת","",IF(C30="יום שישי","",VLOOKUP(B30,'דוח הכנה chrome'!$T$3:$Z$46,7,0))),"")</f>
        <v/>
      </c>
      <c r="F30" s="32">
        <f t="shared" ca="1" si="1"/>
        <v>0</v>
      </c>
      <c r="G30" s="54" t="str">
        <f ca="1">IFERROR(IF(C30="שבת",VLOOKUP(B30,'דוח הכנה chrome'!$T$3:$Y$39,6,0),IF(C30="יום שישי",VLOOKUP(B30,'דוח הכנה chrome'!$T$3:$Y$39,6,0),IF(VLOOKUP(B30&amp;"2",'דוח הכנה chrome'!$X$3:$Y$39,2,0)=D30,"",VLOOKUP(B30&amp;"2",'דוח הכנה chrome'!$X$3:$Y$39,2,0)))),"")</f>
        <v/>
      </c>
      <c r="H30" s="34" t="str">
        <f ca="1">IFERROR(IF(C30="שבת",VLOOKUP(B30,'דוח הכנה chrome'!$T$3:$Z$39,7,0),IF(C30="יום שישי",VLOOKUP(B30,'דוח הכנה chrome'!$T$3:$Z$39,7,0),IF(VLOOKUP(B30&amp;"2",'דוח הכנה chrome'!$X$3:$Z$39,3,0)=E30,"",VLOOKUP(B30&amp;"2",'דוח הכנה chrome'!$X$3:$Z$39,3,0)))),"")</f>
        <v/>
      </c>
      <c r="I30" s="32">
        <f t="shared" ca="1" si="2"/>
        <v>0</v>
      </c>
    </row>
    <row r="31" spans="1:9" x14ac:dyDescent="0.2">
      <c r="A31" s="38">
        <f ca="1">DATE(YEAR(B31),MONTH(B31),DAY(B31))</f>
        <v>44768</v>
      </c>
      <c r="B31" s="47">
        <f ca="1">'דוח הכנה chrome'!T31</f>
        <v>44768</v>
      </c>
      <c r="C31" s="45" t="str">
        <f t="shared" ca="1" si="3"/>
        <v>Tuesday</v>
      </c>
      <c r="D31" s="34" t="str">
        <f ca="1">IFERROR(IF(C31="שבת","",IF(C31="יום שישי","",VLOOKUP(B31,'דוח הכנה chrome'!$T$3:$Y$46,6,0))),"")</f>
        <v/>
      </c>
      <c r="E31" s="37" t="str">
        <f ca="1">IFERROR(IF(C31="שבת","",IF(C31="יום שישי","",VLOOKUP(B31,'דוח הכנה chrome'!$T$3:$Z$46,7,0))),"")</f>
        <v/>
      </c>
      <c r="F31" s="32">
        <f t="shared" ca="1" si="1"/>
        <v>0</v>
      </c>
      <c r="G31" s="54" t="str">
        <f ca="1">IFERROR(IF(C31="שבת",VLOOKUP(B31,'דוח הכנה chrome'!$T$3:$Y$39,6,0),IF(C31="יום שישי",VLOOKUP(B31,'דוח הכנה chrome'!$T$3:$Y$39,6,0),IF(VLOOKUP(B31&amp;"2",'דוח הכנה chrome'!$X$3:$Y$39,2,0)=D31,"",VLOOKUP(B31&amp;"2",'דוח הכנה chrome'!$X$3:$Y$39,2,0)))),"")</f>
        <v/>
      </c>
      <c r="H31" s="34" t="str">
        <f ca="1">IFERROR(IF(C31="שבת",VLOOKUP(B31,'דוח הכנה chrome'!$T$3:$Z$39,7,0),IF(C31="יום שישי",VLOOKUP(B31,'דוח הכנה chrome'!$T$3:$Z$39,7,0),IF(VLOOKUP(B31&amp;"2",'דוח הכנה chrome'!$X$3:$Z$39,3,0)=E31,"",VLOOKUP(B31&amp;"2",'דוח הכנה chrome'!$X$3:$Z$39,3,0)))),"")</f>
        <v/>
      </c>
      <c r="I31" s="32">
        <f t="shared" ca="1" si="2"/>
        <v>0</v>
      </c>
    </row>
    <row r="32" spans="1:9" x14ac:dyDescent="0.2">
      <c r="A32" s="38">
        <f t="shared" ca="1" si="0"/>
        <v>44769</v>
      </c>
      <c r="B32" s="47">
        <f ca="1">'דוח הכנה chrome'!T32</f>
        <v>44769</v>
      </c>
      <c r="C32" s="45" t="str">
        <f t="shared" ca="1" si="3"/>
        <v>Wednesday</v>
      </c>
      <c r="D32" s="34" t="str">
        <f ca="1">IFERROR(IF(C32="שבת","",IF(C32="יום שישי","",VLOOKUP(B32,'דוח הכנה chrome'!$T$3:$Y$46,6,0))),"")</f>
        <v/>
      </c>
      <c r="E32" s="37" t="str">
        <f ca="1">IFERROR(IF(C32="שבת","",IF(C32="יום שישי","",VLOOKUP(B32,'דוח הכנה chrome'!$T$3:$Z$46,7,0))),"")</f>
        <v/>
      </c>
      <c r="F32" s="32">
        <f t="shared" ca="1" si="1"/>
        <v>0</v>
      </c>
      <c r="G32" s="54" t="str">
        <f ca="1">IFERROR(IF(C32="שבת",VLOOKUP(B32,'דוח הכנה chrome'!$T$3:$Y$39,6,0),IF(C32="יום שישי",VLOOKUP(B32,'דוח הכנה chrome'!$T$3:$Y$39,6,0),IF(VLOOKUP(B32&amp;"2",'דוח הכנה chrome'!$X$3:$Y$39,2,0)=D32,"",VLOOKUP(B32&amp;"2",'דוח הכנה chrome'!$X$3:$Y$39,2,0)))),"")</f>
        <v/>
      </c>
      <c r="H32" s="34" t="str">
        <f ca="1">IFERROR(IF(C32="שבת",VLOOKUP(B32,'דוח הכנה chrome'!$T$3:$Z$39,7,0),IF(C32="יום שישי",VLOOKUP(B32,'דוח הכנה chrome'!$T$3:$Z$39,7,0),IF(VLOOKUP(B32&amp;"2",'דוח הכנה chrome'!$X$3:$Z$39,3,0)=E32,"",VLOOKUP(B32&amp;"2",'דוח הכנה chrome'!$X$3:$Z$39,3,0)))),"")</f>
        <v/>
      </c>
      <c r="I32" s="32">
        <f t="shared" ca="1" si="2"/>
        <v>0</v>
      </c>
    </row>
    <row r="33" spans="1:9" x14ac:dyDescent="0.2">
      <c r="A33" s="38">
        <f t="shared" ca="1" si="0"/>
        <v>44770</v>
      </c>
      <c r="B33" s="47">
        <f ca="1">'דוח הכנה chrome'!T33</f>
        <v>44770</v>
      </c>
      <c r="C33" s="45" t="str">
        <f t="shared" ca="1" si="3"/>
        <v>Thursday</v>
      </c>
      <c r="D33" s="34" t="str">
        <f ca="1">IFERROR(IF(C33="שבת","",IF(C33="יום שישי","",VLOOKUP(B33,'דוח הכנה chrome'!$T$3:$Y$46,6,0))),"")</f>
        <v/>
      </c>
      <c r="E33" s="37" t="str">
        <f ca="1">IFERROR(IF(C33="שבת","",IF(C33="יום שישי","",VLOOKUP(B33,'דוח הכנה chrome'!$T$3:$Z$46,7,0))),"")</f>
        <v/>
      </c>
      <c r="F33" s="32">
        <f t="shared" ca="1" si="1"/>
        <v>0</v>
      </c>
      <c r="G33" s="54" t="str">
        <f ca="1">IFERROR(IF(C33="שבת",VLOOKUP(B33,'דוח הכנה chrome'!$T$3:$Y$39,6,0),IF(C33="יום שישי",VLOOKUP(B33,'דוח הכנה chrome'!$T$3:$Y$39,6,0),IF(VLOOKUP(B33&amp;"2",'דוח הכנה chrome'!$X$3:$Y$39,2,0)=D33,"",VLOOKUP(B33&amp;"2",'דוח הכנה chrome'!$X$3:$Y$39,2,0)))),"")</f>
        <v/>
      </c>
      <c r="H33" s="34" t="str">
        <f ca="1">IFERROR(IF(C33="שבת",VLOOKUP(B33,'דוח הכנה chrome'!$T$3:$Z$39,7,0),IF(C33="יום שישי",VLOOKUP(B33,'דוח הכנה chrome'!$T$3:$Z$39,7,0),IF(VLOOKUP(B33&amp;"2",'דוח הכנה chrome'!$X$3:$Z$39,3,0)=E33,"",VLOOKUP(B33&amp;"2",'דוח הכנה chrome'!$X$3:$Z$39,3,0)))),"")</f>
        <v/>
      </c>
      <c r="I33" s="32">
        <f t="shared" ca="1" si="2"/>
        <v>0</v>
      </c>
    </row>
    <row r="34" spans="1:9" x14ac:dyDescent="0.2">
      <c r="A34" s="38">
        <f t="shared" ca="1" si="0"/>
        <v>44770</v>
      </c>
      <c r="B34" s="47">
        <f ca="1">'דוח הכנה chrome'!T34</f>
        <v>44770</v>
      </c>
      <c r="C34" s="45" t="str">
        <f t="shared" ca="1" si="3"/>
        <v>Thursday</v>
      </c>
      <c r="D34" s="34" t="str">
        <f ca="1">IFERROR(IF(C34="שבת","",IF(C34="יום שישי","",VLOOKUP(B34,'דוח הכנה chrome'!$T$3:$Y$46,6,0))),"")</f>
        <v/>
      </c>
      <c r="E34" s="37" t="str">
        <f ca="1">IFERROR(IF(C34="שבת","",IF(C34="יום שישי","",VLOOKUP(B34,'דוח הכנה chrome'!$T$3:$Z$46,7,0))),"")</f>
        <v/>
      </c>
      <c r="F34" s="32">
        <f t="shared" ca="1" si="1"/>
        <v>0</v>
      </c>
      <c r="G34" s="54" t="str">
        <f ca="1">IFERROR(IF(C34="שבת",VLOOKUP(B34,'דוח הכנה chrome'!$T$3:$Y$39,6,0),IF(C34="יום שישי",VLOOKUP(B34,'דוח הכנה chrome'!$T$3:$Y$39,6,0),IF(VLOOKUP(B34&amp;"2",'דוח הכנה chrome'!$X$3:$Y$39,2,0)=D34,"",VLOOKUP(B34&amp;"2",'דוח הכנה chrome'!$X$3:$Y$39,2,0)))),"")</f>
        <v/>
      </c>
      <c r="H34" s="34" t="str">
        <f ca="1">IFERROR(IF(C34="שבת",VLOOKUP(B34,'דוח הכנה chrome'!$T$3:$Z$39,7,0),IF(C34="יום שישי",VLOOKUP(B34,'דוח הכנה chrome'!$T$3:$Z$39,7,0),IF(VLOOKUP(B34&amp;"2",'דוח הכנה chrome'!$X$3:$Z$39,3,0)=E34,"",VLOOKUP(B34&amp;"2",'דוח הכנה chrome'!$X$3:$Z$39,3,0)))),"")</f>
        <v/>
      </c>
      <c r="I34" s="32">
        <f t="shared" ca="1" si="2"/>
        <v>0</v>
      </c>
    </row>
    <row r="35" spans="1:9" x14ac:dyDescent="0.2">
      <c r="A35" s="38">
        <f t="shared" ca="1" si="0"/>
        <v>44771</v>
      </c>
      <c r="B35" s="47">
        <f ca="1">'דוח הכנה chrome'!T35</f>
        <v>44771</v>
      </c>
      <c r="C35" s="45" t="str">
        <f t="shared" ca="1" si="3"/>
        <v>Friday</v>
      </c>
      <c r="D35" s="34" t="str">
        <f ca="1">IFERROR(IF(C35="שבת","",IF(C35="יום שישי","",VLOOKUP(B35,'דוח הכנה chrome'!$T$3:$Y$46,6,0))),"")</f>
        <v/>
      </c>
      <c r="E35" s="37" t="str">
        <f ca="1">IFERROR(IF(C35="שבת","",IF(C35="יום שישי","",VLOOKUP(B35,'דוח הכנה chrome'!$T$3:$Z$46,7,0))),"")</f>
        <v/>
      </c>
      <c r="F35" s="32">
        <f t="shared" ca="1" si="1"/>
        <v>0</v>
      </c>
      <c r="G35" s="54" t="str">
        <f ca="1">IFERROR(IF(C35="שבת",VLOOKUP(B35,'דוח הכנה chrome'!$T$3:$Y$39,6,0),IF(C35="יום שישי",VLOOKUP(B35,'דוח הכנה chrome'!$T$3:$Y$39,6,0),IF(VLOOKUP(B35&amp;"2",'דוח הכנה chrome'!$X$3:$Y$39,2,0)=D35,"",VLOOKUP(B35&amp;"2",'דוח הכנה chrome'!$X$3:$Y$39,2,0)))),"")</f>
        <v/>
      </c>
      <c r="H35" s="34" t="str">
        <f ca="1">IFERROR(IF(C35="שבת",VLOOKUP(B35,'דוח הכנה chrome'!$T$3:$Z$39,7,0),IF(C35="יום שישי",VLOOKUP(B35,'דוח הכנה chrome'!$T$3:$Z$39,7,0),IF(VLOOKUP(B35&amp;"2",'דוח הכנה chrome'!$X$3:$Z$39,3,0)=E35,"",VLOOKUP(B35&amp;"2",'דוח הכנה chrome'!$X$3:$Z$39,3,0)))),"")</f>
        <v/>
      </c>
      <c r="I35" s="32">
        <f t="shared" ca="1" si="2"/>
        <v>0</v>
      </c>
    </row>
    <row r="36" spans="1:9" x14ac:dyDescent="0.2">
      <c r="A36" s="38">
        <f t="shared" ca="1" si="0"/>
        <v>44772</v>
      </c>
      <c r="B36" s="47">
        <f ca="1">'דוח הכנה chrome'!T36</f>
        <v>44772</v>
      </c>
      <c r="C36" s="45" t="str">
        <f t="shared" ca="1" si="3"/>
        <v>Saturday</v>
      </c>
      <c r="D36" s="34" t="str">
        <f ca="1">IFERROR(IF(C36="שבת","",IF(C36="יום שישי","",VLOOKUP(B36,'דוח הכנה chrome'!$T$3:$Y$46,6,0))),"")</f>
        <v/>
      </c>
      <c r="E36" s="37" t="str">
        <f ca="1">IFERROR(IF(C36="שבת","",IF(C36="יום שישי","",VLOOKUP(B36,'דוח הכנה chrome'!$T$3:$Z$46,7,0))),"")</f>
        <v/>
      </c>
      <c r="F36" s="32">
        <f t="shared" ca="1" si="1"/>
        <v>0</v>
      </c>
      <c r="G36" s="54" t="str">
        <f ca="1">IFERROR(IF(C36="שבת",VLOOKUP(B36,'דוח הכנה chrome'!$T$3:$Y$39,6,0),IF(C36="יום שישי",VLOOKUP(B36,'דוח הכנה chrome'!$T$3:$Y$39,6,0),IF(VLOOKUP(B36&amp;"2",'דוח הכנה chrome'!$X$3:$Y$39,2,0)=D36,"",VLOOKUP(B36&amp;"2",'דוח הכנה chrome'!$X$3:$Y$39,2,0)))),"")</f>
        <v/>
      </c>
      <c r="H36" s="34" t="str">
        <f ca="1">IFERROR(IF(C36="שבת",VLOOKUP(B36,'דוח הכנה chrome'!$T$3:$Z$39,7,0),IF(C36="יום שישי",VLOOKUP(B36,'דוח הכנה chrome'!$T$3:$Z$39,7,0),IF(VLOOKUP(B36&amp;"2",'דוח הכנה chrome'!$X$3:$Z$39,3,0)=E36,"",VLOOKUP(B36&amp;"2",'דוח הכנה chrome'!$X$3:$Z$39,3,0)))),"")</f>
        <v/>
      </c>
      <c r="I36" s="32">
        <f t="shared" ca="1" si="2"/>
        <v>0</v>
      </c>
    </row>
    <row r="37" spans="1:9" x14ac:dyDescent="0.2">
      <c r="A37" s="38">
        <f t="shared" ca="1" si="0"/>
        <v>44773</v>
      </c>
      <c r="B37" s="47">
        <f ca="1">'דוח הכנה chrome'!T37</f>
        <v>44773</v>
      </c>
      <c r="C37" s="45" t="str">
        <f t="shared" ca="1" si="3"/>
        <v>Sunday</v>
      </c>
      <c r="D37" s="34" t="str">
        <f ca="1">IFERROR(IF(C37="שבת","",IF(C37="יום שישי","",VLOOKUP(B37,'דוח הכנה chrome'!$T$3:$Y$46,6,0))),"")</f>
        <v/>
      </c>
      <c r="E37" s="37" t="str">
        <f ca="1">IFERROR(IF(C37="שבת","",IF(C37="יום שישי","",VLOOKUP(B37,'דוח הכנה chrome'!$T$3:$Z$46,7,0))),"")</f>
        <v/>
      </c>
      <c r="F37" s="32">
        <f t="shared" ca="1" si="1"/>
        <v>0</v>
      </c>
      <c r="G37" s="54" t="str">
        <f ca="1">IFERROR(IF(C37="שבת",VLOOKUP(B37,'דוח הכנה chrome'!$T$3:$Y$39,6,0),IF(C37="יום שישי",VLOOKUP(B37,'דוח הכנה chrome'!$T$3:$Y$39,6,0),IF(VLOOKUP(B37&amp;"2",'דוח הכנה chrome'!$X$3:$Y$39,2,0)=D37,"",VLOOKUP(B37&amp;"2",'דוח הכנה chrome'!$X$3:$Y$39,2,0)))),"")</f>
        <v/>
      </c>
      <c r="H37" s="34" t="str">
        <f ca="1">IFERROR(IF(C37="שבת",VLOOKUP(B37,'דוח הכנה chrome'!$T$3:$Z$39,7,0),IF(C37="יום שישי",VLOOKUP(B37,'דוח הכנה chrome'!$T$3:$Z$39,7,0),IF(VLOOKUP(B37&amp;"2",'דוח הכנה chrome'!$X$3:$Z$39,3,0)=E37,"",VLOOKUP(B37&amp;"2",'דוח הכנה chrome'!$X$3:$Z$39,3,0)))),"")</f>
        <v/>
      </c>
      <c r="I37" s="32">
        <f t="shared" ca="1" si="2"/>
        <v>0</v>
      </c>
    </row>
    <row r="38" spans="1:9" x14ac:dyDescent="0.2">
      <c r="A38" s="38">
        <f t="shared" ca="1" si="0"/>
        <v>44773</v>
      </c>
      <c r="B38" s="47">
        <f ca="1">'דוח הכנה chrome'!T38</f>
        <v>44773</v>
      </c>
      <c r="C38" s="45" t="str">
        <f t="shared" ca="1" si="3"/>
        <v>Sunday</v>
      </c>
      <c r="D38" s="34" t="str">
        <f ca="1">IFERROR(IF(C38="שבת","",IF(C38="יום שישי","",VLOOKUP(B38,'דוח הכנה chrome'!$T$3:$Y$46,6,0))),"")</f>
        <v/>
      </c>
      <c r="E38" s="37" t="str">
        <f ca="1">IFERROR(IF(C38="שבת","",IF(C38="יום שישי","",VLOOKUP(B38,'דוח הכנה chrome'!$T$3:$Z$46,7,0))),"")</f>
        <v/>
      </c>
      <c r="F38" s="32">
        <f t="shared" ca="1" si="1"/>
        <v>0</v>
      </c>
      <c r="G38" s="54" t="str">
        <f ca="1">IFERROR(IF(C38="שבת",VLOOKUP(B38,'דוח הכנה chrome'!$T$3:$Y$39,6,0),IF(C38="יום שישי",VLOOKUP(B38,'דוח הכנה chrome'!$T$3:$Y$39,6,0),IF(VLOOKUP(B38&amp;"2",'דוח הכנה chrome'!$X$3:$Y$39,2,0)=D38,"",VLOOKUP(B38&amp;"2",'דוח הכנה chrome'!$X$3:$Y$39,2,0)))),"")</f>
        <v/>
      </c>
      <c r="H38" s="34" t="str">
        <f ca="1">IFERROR(IF(C38="שבת",VLOOKUP(B38,'דוח הכנה chrome'!$T$3:$Z$39,7,0),IF(C38="יום שישי",VLOOKUP(B38,'דוח הכנה chrome'!$T$3:$Z$39,7,0),IF(VLOOKUP(B38&amp;"2",'דוח הכנה chrome'!$X$3:$Z$39,3,0)=E38,"",VLOOKUP(B38&amp;"2",'דוח הכנה chrome'!$X$3:$Z$39,3,0)))),"")</f>
        <v/>
      </c>
      <c r="I38" s="32">
        <f t="shared" ca="1" si="2"/>
        <v>0</v>
      </c>
    </row>
    <row r="39" spans="1:9" x14ac:dyDescent="0.2">
      <c r="A39" s="38">
        <f t="shared" ca="1" si="0"/>
        <v>44773</v>
      </c>
      <c r="B39" s="47">
        <f ca="1">'דוח הכנה chrome'!T39</f>
        <v>44773</v>
      </c>
      <c r="C39" s="45" t="str">
        <f t="shared" ca="1" si="3"/>
        <v>Sunday</v>
      </c>
      <c r="D39" s="34" t="str">
        <f ca="1">IFERROR(IF(C39="שבת","",IF(C39="יום שישי","",VLOOKUP(B39,'דוח הכנה chrome'!$T$3:$Y$46,6,0))),"")</f>
        <v/>
      </c>
      <c r="E39" s="37" t="str">
        <f ca="1">IFERROR(IF(C39="שבת","",IF(C39="יום שישי","",VLOOKUP(B39,'דוח הכנה chrome'!$T$3:$Z$46,7,0))),"")</f>
        <v/>
      </c>
      <c r="F39" s="32">
        <f t="shared" ca="1" si="1"/>
        <v>0</v>
      </c>
      <c r="G39" s="54" t="str">
        <f ca="1">IFERROR(IF(C39="שבת",VLOOKUP(B39,'דוח הכנה chrome'!$T$3:$Y$39,6,0),IF(C39="יום שישי",VLOOKUP(B39,'דוח הכנה chrome'!$T$3:$Y$39,6,0),IF(VLOOKUP(B39&amp;"2",'דוח הכנה chrome'!$X$3:$Y$39,2,0)=D39,"",VLOOKUP(B39&amp;"2",'דוח הכנה chrome'!$X$3:$Y$39,2,0)))),"")</f>
        <v/>
      </c>
      <c r="H39" s="34" t="str">
        <f ca="1">IFERROR(IF(C39="שבת",VLOOKUP(B39,'דוח הכנה chrome'!$T$3:$Z$39,7,0),IF(C39="יום שישי",VLOOKUP(B39,'דוח הכנה chrome'!$T$3:$Z$39,7,0),IF(VLOOKUP(B39&amp;"2",'דוח הכנה chrome'!$X$3:$Z$39,3,0)=E39,"",VLOOKUP(B39&amp;"2",'דוח הכנה chrome'!$X$3:$Z$39,3,0)))),"")</f>
        <v/>
      </c>
      <c r="I39" s="32">
        <f t="shared" ca="1" si="2"/>
        <v>0</v>
      </c>
    </row>
    <row r="40" spans="1:9" x14ac:dyDescent="0.2">
      <c r="A40" s="38" t="e">
        <f t="shared" si="0"/>
        <v>#REF!</v>
      </c>
      <c r="B40" s="47" t="e">
        <f>'דוח הכנה chrome'!#REF!</f>
        <v>#REF!</v>
      </c>
      <c r="C40" s="45" t="e">
        <f t="shared" si="3"/>
        <v>#REF!</v>
      </c>
      <c r="D40" s="34" t="str">
        <f>IFERROR(IF(C40="שבת","",IF(C40="יום שישי","",VLOOKUP(B40,'דוח הכנה chrome'!$T$3:$Y$46,6,0))),"")</f>
        <v/>
      </c>
      <c r="E40" s="37" t="str">
        <f>IFERROR(IF(C40="שבת","",IF(C40="יום שישי","",VLOOKUP(B40,'דוח הכנה chrome'!$T$3:$Z$46,7,0))),"")</f>
        <v/>
      </c>
      <c r="F40" s="32">
        <f t="shared" si="1"/>
        <v>0</v>
      </c>
      <c r="G40" s="54" t="str">
        <f>IFERROR(IF(C40="שבת",VLOOKUP(B40,'דוח הכנה chrome'!$T$3:$Y$39,6,0),IF(C40="יום שישי",VLOOKUP(B40,'דוח הכנה chrome'!$T$3:$Y$39,6,0),IF(VLOOKUP(B40&amp;"2",'דוח הכנה chrome'!$X$3:$Y$39,2,0)=D40,"",VLOOKUP(B40&amp;"2",'דוח הכנה chrome'!$X$3:$Y$39,2,0)))),"")</f>
        <v/>
      </c>
      <c r="H40" s="34" t="str">
        <f>IFERROR(IF(C40="שבת",VLOOKUP(B40,'דוח הכנה chrome'!$T$3:$Z$39,7,0),IF(C40="יום שישי",VLOOKUP(B40,'דוח הכנה chrome'!$T$3:$Z$39,7,0),IF(VLOOKUP(B40&amp;"2",'דוח הכנה chrome'!$X$3:$Z$39,3,0)=E40,"",VLOOKUP(B40&amp;"2",'דוח הכנה chrome'!$X$3:$Z$39,3,0)))),"")</f>
        <v/>
      </c>
      <c r="I40" s="32">
        <f t="shared" si="2"/>
        <v>0</v>
      </c>
    </row>
    <row r="41" spans="1:9" x14ac:dyDescent="0.2">
      <c r="A41" s="38">
        <f t="shared" ca="1" si="0"/>
        <v>44742</v>
      </c>
      <c r="B41" s="47">
        <f ca="1">'דוח הכנה chrome'!T40</f>
        <v>44742</v>
      </c>
      <c r="C41" s="45" t="str">
        <f t="shared" ca="1" si="3"/>
        <v>Thursday</v>
      </c>
      <c r="D41" s="34" t="str">
        <f ca="1">IFERROR(IF(C41="שבת","",IF(C41="יום שישי","",VLOOKUP(B41,'דוח הכנה chrome'!$T$3:$Y$46,6,0))),"")</f>
        <v/>
      </c>
      <c r="E41" s="37" t="str">
        <f ca="1">IFERROR(IF(C41="שבת","",IF(C41="יום שישי","",VLOOKUP(B41,'דוח הכנה chrome'!$T$3:$Z$46,7,0))),"")</f>
        <v/>
      </c>
      <c r="F41" s="32">
        <f t="shared" ca="1" si="1"/>
        <v>0</v>
      </c>
      <c r="G41" s="54" t="str">
        <f ca="1">IFERROR(IF(C41="שבת",VLOOKUP(B41,'דוח הכנה chrome'!$T$3:$Y$39,6,0),IF(C41="יום שישי",VLOOKUP(B41,'דוח הכנה chrome'!$T$3:$Y$39,6,0),IF(VLOOKUP(B41&amp;"2",'דוח הכנה chrome'!$X$3:$Y$39,2,0)=D41,"",VLOOKUP(B41&amp;"2",'דוח הכנה chrome'!$X$3:$Y$39,2,0)))),"")</f>
        <v/>
      </c>
      <c r="H41" s="34" t="str">
        <f ca="1">IFERROR(IF(C41="שבת",VLOOKUP(B41,'דוח הכנה chrome'!$T$3:$Z$39,7,0),IF(C41="יום שישי",VLOOKUP(B41,'דוח הכנה chrome'!$T$3:$Z$39,7,0),IF(VLOOKUP(B41&amp;"2",'דוח הכנה chrome'!$X$3:$Z$39,3,0)=E41,"",VLOOKUP(B41&amp;"2",'דוח הכנה chrome'!$X$3:$Z$39,3,0)))),"")</f>
        <v/>
      </c>
      <c r="I41" s="32">
        <f t="shared" ca="1" si="2"/>
        <v>0</v>
      </c>
    </row>
    <row r="42" spans="1:9" x14ac:dyDescent="0.2">
      <c r="A42" s="33"/>
      <c r="B42" s="33"/>
      <c r="C42" s="33"/>
      <c r="D42" s="31"/>
      <c r="E42" s="34" t="s">
        <v>32</v>
      </c>
      <c r="F42" s="32">
        <f ca="1">SUM(F3:F36)</f>
        <v>83.833333333333314</v>
      </c>
      <c r="G42" s="52"/>
      <c r="H42" s="34"/>
      <c r="I42" s="32">
        <f ca="1">SUM(I3:I36)</f>
        <v>0</v>
      </c>
    </row>
    <row r="48" spans="1:9" x14ac:dyDescent="0.2">
      <c r="E48" s="42"/>
    </row>
  </sheetData>
  <autoFilter ref="A2:F42" xr:uid="{00000000-0009-0000-0000-000001000000}"/>
  <mergeCells count="3">
    <mergeCell ref="D1:F1"/>
    <mergeCell ref="G1:I1"/>
    <mergeCell ref="A1:C1"/>
  </mergeCells>
  <pageMargins left="0.7" right="0.7" top="0.75" bottom="0.75" header="0.3" footer="0.3"/>
  <pageSetup paperSize="9" scale="74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גיליון15">
    <pageSetUpPr fitToPage="1"/>
  </sheetPr>
  <dimension ref="A1:U77"/>
  <sheetViews>
    <sheetView rightToLeft="1" zoomScale="60" zoomScaleNormal="60" workbookViewId="0">
      <selection activeCell="I83" sqref="I83"/>
    </sheetView>
  </sheetViews>
  <sheetFormatPr defaultRowHeight="20.25" x14ac:dyDescent="0.3"/>
  <cols>
    <col min="1" max="1" width="21.85546875" customWidth="1"/>
    <col min="2" max="2" width="7" bestFit="1" customWidth="1"/>
    <col min="3" max="3" width="13" bestFit="1" customWidth="1"/>
    <col min="4" max="4" width="11.85546875" bestFit="1" customWidth="1"/>
    <col min="5" max="5" width="17.85546875" customWidth="1"/>
    <col min="6" max="6" width="19.140625" bestFit="1" customWidth="1"/>
    <col min="7" max="7" width="12.7109375" customWidth="1"/>
    <col min="8" max="8" width="9.42578125" bestFit="1" customWidth="1"/>
    <col min="9" max="9" width="33.7109375" customWidth="1"/>
    <col min="10" max="10" width="12.7109375" bestFit="1" customWidth="1"/>
    <col min="11" max="11" width="15" bestFit="1" customWidth="1"/>
    <col min="12" max="12" width="20.85546875" bestFit="1" customWidth="1"/>
    <col min="13" max="13" width="17.5703125" bestFit="1" customWidth="1"/>
    <col min="14" max="14" width="20.42578125" customWidth="1"/>
    <col min="15" max="15" width="23.140625" bestFit="1" customWidth="1"/>
    <col min="16" max="18" width="9.140625" style="77" customWidth="1"/>
    <col min="19" max="19" width="107" style="77" bestFit="1" customWidth="1"/>
    <col min="20" max="20" width="22.42578125" hidden="1" customWidth="1"/>
    <col min="21" max="21" width="0" hidden="1" customWidth="1"/>
  </cols>
  <sheetData>
    <row r="1" spans="1:21" ht="88.5" customHeight="1" x14ac:dyDescent="0.3">
      <c r="C1" s="139" t="s">
        <v>50</v>
      </c>
      <c r="D1" s="139"/>
      <c r="E1" s="139"/>
      <c r="F1" s="139"/>
      <c r="G1" s="139"/>
      <c r="H1" s="139"/>
      <c r="I1" s="139"/>
      <c r="J1" s="60"/>
      <c r="K1" s="138">
        <f ca="1">'דוח הכנה chrome'!T3</f>
        <v>44743</v>
      </c>
      <c r="L1" s="138"/>
      <c r="M1" s="60"/>
      <c r="N1" s="60"/>
      <c r="O1" s="60"/>
    </row>
    <row r="2" spans="1:21" ht="42.75" customHeight="1" x14ac:dyDescent="0.3">
      <c r="C2" s="143"/>
      <c r="D2" s="143"/>
      <c r="E2" s="143"/>
      <c r="F2" s="143"/>
      <c r="I2" s="143"/>
      <c r="J2" s="143"/>
      <c r="K2" s="143"/>
      <c r="L2" s="143"/>
      <c r="M2" s="143"/>
      <c r="N2" s="143"/>
      <c r="O2" s="60"/>
    </row>
    <row r="8" spans="1:21" ht="76.5" x14ac:dyDescent="0.3">
      <c r="A8" s="61" t="s">
        <v>56</v>
      </c>
      <c r="B8" s="61" t="s">
        <v>29</v>
      </c>
      <c r="C8" s="61" t="s">
        <v>56</v>
      </c>
      <c r="D8" s="61" t="s">
        <v>36</v>
      </c>
      <c r="E8" s="61" t="s">
        <v>55</v>
      </c>
      <c r="F8" s="61" t="s">
        <v>38</v>
      </c>
      <c r="G8" s="61" t="s">
        <v>39</v>
      </c>
      <c r="H8" s="61" t="s">
        <v>54</v>
      </c>
      <c r="I8" s="61" t="s">
        <v>41</v>
      </c>
      <c r="J8" s="83" t="s">
        <v>42</v>
      </c>
      <c r="K8" s="83" t="s">
        <v>44</v>
      </c>
      <c r="L8" s="83" t="s">
        <v>53</v>
      </c>
      <c r="M8" s="83" t="s">
        <v>45</v>
      </c>
      <c r="N8" s="83" t="s">
        <v>52</v>
      </c>
      <c r="O8" s="83" t="s">
        <v>51</v>
      </c>
    </row>
    <row r="9" spans="1:21" ht="51" x14ac:dyDescent="0.35">
      <c r="A9" s="69" t="str">
        <f ca="1">IF(B9=B8,"ס.שבועי",IF(B9=B8=B7,"ס.חודשי",""))</f>
        <v>ס.חודשי</v>
      </c>
      <c r="B9" s="74">
        <f ca="1">'דוח הכנה chrome'!T3</f>
        <v>44743</v>
      </c>
      <c r="C9" s="69" t="str">
        <f>IF('דוח הכנה chrome'!C3="","",'דוח הכנה chrome'!C3)</f>
        <v>ראשון</v>
      </c>
      <c r="D9" s="69">
        <f>IF(F9=0,1,2)</f>
        <v>2</v>
      </c>
      <c r="E9" s="69" t="str">
        <f ca="1">IFERROR(IF(VLOOKUP(B9,'דוח הכנה chrome'!T3:AB46,9,0)="ארוחת צהרים",10,""),"")</f>
        <v/>
      </c>
      <c r="F9" s="69" t="str">
        <f>IFERROR('דוח הכנה chrome'!F3,"")</f>
        <v>7.39</v>
      </c>
      <c r="G9" s="69" t="str">
        <f>IFERROR('דוח הכנה chrome'!G3,"")</f>
        <v>17.08</v>
      </c>
      <c r="H9" s="76"/>
      <c r="I9" s="81"/>
      <c r="J9" s="84" t="str">
        <f>IFERROR('דוח הכנה chrome'!AC3,"")</f>
        <v>9.29</v>
      </c>
      <c r="K9" s="85"/>
      <c r="L9" s="85" t="s">
        <v>56</v>
      </c>
      <c r="M9" s="85" t="s">
        <v>56</v>
      </c>
      <c r="N9" s="85" t="str">
        <f>IFERROR('דוח הכנה chrome'!AC3,"")</f>
        <v>9.29</v>
      </c>
      <c r="O9" s="86" t="s">
        <v>56</v>
      </c>
      <c r="T9" s="76">
        <v>2.0833333333333332E-2</v>
      </c>
    </row>
    <row r="10" spans="1:21" ht="51" x14ac:dyDescent="0.35">
      <c r="A10" s="69" t="str">
        <f t="shared" ref="A10:A47" ca="1" si="0">IF(B10=B9=B8,"ס.חודשי",IF(B10=B9,"ס.שבועי",""))</f>
        <v/>
      </c>
      <c r="B10" s="74">
        <f ca="1">'דוח הכנה chrome'!T4</f>
        <v>44744</v>
      </c>
      <c r="C10" s="69" t="str">
        <f>IF('דוח הכנה chrome'!C4="","",'דוח הכנה chrome'!C4)</f>
        <v>שני</v>
      </c>
      <c r="D10" s="69">
        <f t="shared" ref="D10:D47" si="1">IF(F10=0,1,2)</f>
        <v>2</v>
      </c>
      <c r="E10" s="69" t="str">
        <f ca="1">IFERROR(IF(VLOOKUP(B10,'דוח הכנה chrome'!T4:AB47,9,0)="ארוחת צהרים",10,""),"")</f>
        <v/>
      </c>
      <c r="F10" s="69" t="str">
        <f>IFERROR('דוח הכנה chrome'!F4,"")</f>
        <v>7.46</v>
      </c>
      <c r="G10" s="69" t="str">
        <f>IFERROR('דוח הכנה chrome'!G4,"")</f>
        <v>17.09</v>
      </c>
      <c r="H10" s="76"/>
      <c r="I10" s="80"/>
      <c r="J10" s="84" t="str">
        <f>IFERROR('דוח הכנה chrome'!AC4,"")</f>
        <v>9.23</v>
      </c>
      <c r="K10" s="85"/>
      <c r="L10" s="85" t="s">
        <v>56</v>
      </c>
      <c r="M10" s="85" t="s">
        <v>56</v>
      </c>
      <c r="N10" s="85" t="str">
        <f>IFERROR('דוח הכנה chrome'!AC4,"")</f>
        <v>9.23</v>
      </c>
      <c r="O10" s="86" t="s">
        <v>56</v>
      </c>
    </row>
    <row r="11" spans="1:21" ht="51" x14ac:dyDescent="0.35">
      <c r="A11" s="69" t="str">
        <f t="shared" ca="1" si="0"/>
        <v/>
      </c>
      <c r="B11" s="74">
        <f ca="1">'דוח הכנה chrome'!T5</f>
        <v>44745</v>
      </c>
      <c r="C11" s="69" t="str">
        <f>IF('דוח הכנה chrome'!C5="","",'דוח הכנה chrome'!C5)</f>
        <v>שלישי</v>
      </c>
      <c r="D11" s="69">
        <f t="shared" si="1"/>
        <v>2</v>
      </c>
      <c r="E11" s="69" t="str">
        <f ca="1">IFERROR(IF(VLOOKUP(B11,'דוח הכנה chrome'!T5:AB48,9,0)="ארוחת צהרים",10,""),"")</f>
        <v/>
      </c>
      <c r="F11" s="69" t="str">
        <f>IFERROR('דוח הכנה chrome'!F5,"")</f>
        <v>7.40</v>
      </c>
      <c r="G11" s="69" t="str">
        <f>IFERROR('דוח הכנה chrome'!G5,"")</f>
        <v>17.09</v>
      </c>
      <c r="H11" s="76"/>
      <c r="I11" s="80"/>
      <c r="J11" s="84" t="str">
        <f>IFERROR('דוח הכנה chrome'!AC5,"")</f>
        <v>9.29</v>
      </c>
      <c r="K11" s="85"/>
      <c r="L11" s="85" t="s">
        <v>56</v>
      </c>
      <c r="M11" s="85" t="s">
        <v>56</v>
      </c>
      <c r="N11" s="85" t="str">
        <f>IFERROR('דוח הכנה chrome'!AC5,"")</f>
        <v>9.29</v>
      </c>
      <c r="O11" s="86" t="s">
        <v>56</v>
      </c>
    </row>
    <row r="12" spans="1:21" ht="51" x14ac:dyDescent="0.35">
      <c r="A12" s="69" t="str">
        <f t="shared" ca="1" si="0"/>
        <v/>
      </c>
      <c r="B12" s="74">
        <f ca="1">'דוח הכנה chrome'!T6</f>
        <v>44746</v>
      </c>
      <c r="C12" s="69" t="str">
        <f>IF('דוח הכנה chrome'!C6="","",'דוח הכנה chrome'!C6)</f>
        <v>רביעי</v>
      </c>
      <c r="D12" s="69">
        <f t="shared" si="1"/>
        <v>2</v>
      </c>
      <c r="E12" s="69" t="str">
        <f ca="1">IFERROR(IF(VLOOKUP(B12,'דוח הכנה chrome'!T6:AB49,9,0)="ארוחת צהרים",10,""),"")</f>
        <v/>
      </c>
      <c r="F12" s="69" t="str">
        <f>IFERROR('דוח הכנה chrome'!F6,"")</f>
        <v>7.48</v>
      </c>
      <c r="G12" s="69" t="str">
        <f>IFERROR('דוח הכנה chrome'!G6,"")</f>
        <v>17.11</v>
      </c>
      <c r="H12" s="76"/>
      <c r="I12" s="80"/>
      <c r="J12" s="84" t="str">
        <f>IFERROR('דוח הכנה chrome'!AC6,"")</f>
        <v>9.23</v>
      </c>
      <c r="K12" s="85"/>
      <c r="L12" s="85" t="s">
        <v>56</v>
      </c>
      <c r="M12" s="85" t="s">
        <v>56</v>
      </c>
      <c r="N12" s="85" t="str">
        <f>IFERROR('דוח הכנה chrome'!AC6,"")</f>
        <v>9.23</v>
      </c>
      <c r="O12" s="86" t="s">
        <v>56</v>
      </c>
      <c r="T12" s="79" t="s">
        <v>63</v>
      </c>
      <c r="U12" s="33"/>
    </row>
    <row r="13" spans="1:21" ht="51" x14ac:dyDescent="0.35">
      <c r="A13" s="69" t="str">
        <f t="shared" ca="1" si="0"/>
        <v/>
      </c>
      <c r="B13" s="74">
        <f ca="1">'דוח הכנה chrome'!T7</f>
        <v>44747</v>
      </c>
      <c r="C13" s="69" t="str">
        <f>IF('דוח הכנה chrome'!C7="","",'דוח הכנה chrome'!C7)</f>
        <v>חמישי</v>
      </c>
      <c r="D13" s="69">
        <f t="shared" si="1"/>
        <v>2</v>
      </c>
      <c r="E13" s="69" t="str">
        <f ca="1">IFERROR(IF(VLOOKUP(B13,'דוח הכנה chrome'!T7:AB50,9,0)="ארוחת צהרים",10,""),"")</f>
        <v/>
      </c>
      <c r="F13" s="69" t="str">
        <f>IFERROR('דוח הכנה chrome'!F7,"")</f>
        <v>7.41</v>
      </c>
      <c r="G13" s="69" t="str">
        <f>IFERROR('דוח הכנה chrome'!G7,"")</f>
        <v>16.39</v>
      </c>
      <c r="H13" s="76"/>
      <c r="I13" s="33"/>
      <c r="J13" s="84">
        <f>IFERROR('דוח הכנה chrome'!AC7,"")</f>
        <v>0</v>
      </c>
      <c r="K13" s="85"/>
      <c r="L13" s="85" t="s">
        <v>56</v>
      </c>
      <c r="M13" s="85" t="s">
        <v>56</v>
      </c>
      <c r="N13" s="85">
        <f>IFERROR('דוח הכנה chrome'!AC7,"")</f>
        <v>0</v>
      </c>
      <c r="O13" s="86" t="s">
        <v>56</v>
      </c>
      <c r="T13" s="79" t="s">
        <v>64</v>
      </c>
      <c r="U13" s="33"/>
    </row>
    <row r="14" spans="1:21" ht="25.5" x14ac:dyDescent="0.35">
      <c r="A14" s="69" t="str">
        <f t="shared" ca="1" si="0"/>
        <v/>
      </c>
      <c r="B14" s="74">
        <f ca="1">'דוח הכנה chrome'!T8</f>
        <v>44748</v>
      </c>
      <c r="C14" s="69" t="str">
        <f>IF('דוח הכנה chrome'!C8="","",'דוח הכנה chrome'!C8)</f>
        <v>שישי</v>
      </c>
      <c r="D14" s="69">
        <f t="shared" si="1"/>
        <v>1</v>
      </c>
      <c r="E14" s="69" t="str">
        <f ca="1">IFERROR(IF(VLOOKUP(B14,'דוח הכנה chrome'!T8:AB51,9,0)="ארוחת צהרים",10,""),"")</f>
        <v/>
      </c>
      <c r="F14" s="69">
        <f>IFERROR('דוח הכנה chrome'!F8,"")</f>
        <v>0</v>
      </c>
      <c r="G14" s="69">
        <f>IFERROR('דוח הכנה chrome'!G8,"")</f>
        <v>0</v>
      </c>
      <c r="H14" s="76"/>
      <c r="I14" s="33"/>
      <c r="J14" s="84">
        <f>IFERROR('דוח הכנה chrome'!AC8,"")</f>
        <v>0</v>
      </c>
      <c r="K14" s="85"/>
      <c r="L14" s="85"/>
      <c r="M14" s="85" t="s">
        <v>56</v>
      </c>
      <c r="N14" s="85">
        <f>IFERROR('דוח הכנה chrome'!AC8,"")</f>
        <v>0</v>
      </c>
      <c r="O14" s="86" t="s">
        <v>56</v>
      </c>
      <c r="T14" s="78"/>
    </row>
    <row r="15" spans="1:21" ht="25.5" x14ac:dyDescent="0.3">
      <c r="A15" s="69" t="str">
        <f t="shared" ca="1" si="0"/>
        <v/>
      </c>
      <c r="B15" s="74">
        <f ca="1">'דוח הכנה chrome'!T9</f>
        <v>44749</v>
      </c>
      <c r="C15" s="69" t="str">
        <f>IF('דוח הכנה chrome'!C9="","",'דוח הכנה chrome'!C9)</f>
        <v>שבת</v>
      </c>
      <c r="D15" s="69">
        <f t="shared" si="1"/>
        <v>1</v>
      </c>
      <c r="E15" s="69" t="str">
        <f ca="1">IFERROR(IF(VLOOKUP(B15,'דוח הכנה chrome'!T9:AB52,9,0)="ארוחת צהרים",10,""),"")</f>
        <v/>
      </c>
      <c r="F15" s="69">
        <f>IFERROR('דוח הכנה chrome'!F9,"")</f>
        <v>0</v>
      </c>
      <c r="G15" s="69">
        <f>IFERROR('דוח הכנה chrome'!G9,"")</f>
        <v>0</v>
      </c>
      <c r="H15" s="62"/>
      <c r="I15" s="62"/>
      <c r="J15" s="84">
        <f>IFERROR('דוח הכנה chrome'!AC9,"")</f>
        <v>0</v>
      </c>
      <c r="K15" s="87"/>
      <c r="L15" s="88"/>
      <c r="M15" s="87"/>
      <c r="N15" s="85">
        <f>IFERROR('דוח הכנה chrome'!AC9,"")</f>
        <v>0</v>
      </c>
      <c r="O15" s="89" t="s">
        <v>56</v>
      </c>
    </row>
    <row r="16" spans="1:21" ht="25.5" x14ac:dyDescent="0.3">
      <c r="A16" s="69" t="str">
        <f t="shared" ca="1" si="0"/>
        <v>ס.שבועי</v>
      </c>
      <c r="B16" s="74">
        <f ca="1">'דוח הכנה chrome'!T10</f>
        <v>44749</v>
      </c>
      <c r="C16" s="69" t="str">
        <f>IF('דוח הכנה chrome'!C10="","",'דוח הכנה chrome'!C10)</f>
        <v/>
      </c>
      <c r="D16" s="69">
        <f t="shared" si="1"/>
        <v>1</v>
      </c>
      <c r="E16" s="69" t="str">
        <f ca="1">IFERROR(IF(VLOOKUP(B16,'דוח הכנה chrome'!T10:AB53,9,0)="ארוחת צהרים",10,""),"")</f>
        <v/>
      </c>
      <c r="F16" s="69">
        <f>IFERROR('דוח הכנה chrome'!F10,"")</f>
        <v>0</v>
      </c>
      <c r="G16" s="69">
        <f>IFERROR('דוח הכנה chrome'!G10,"")</f>
        <v>0</v>
      </c>
      <c r="H16" s="69" t="s">
        <v>56</v>
      </c>
      <c r="I16" s="69" t="s">
        <v>56</v>
      </c>
      <c r="J16" s="84" t="str">
        <f>IFERROR('דוח הכנה chrome'!AC10,"")</f>
        <v>37.44</v>
      </c>
      <c r="K16" s="85" t="s">
        <v>56</v>
      </c>
      <c r="L16" s="85" t="s">
        <v>56</v>
      </c>
      <c r="M16" s="85" t="s">
        <v>56</v>
      </c>
      <c r="N16" s="85" t="str">
        <f>IFERROR('דוח הכנה chrome'!AC10,"")</f>
        <v>37.44</v>
      </c>
      <c r="O16" s="86" t="s">
        <v>56</v>
      </c>
    </row>
    <row r="17" spans="1:15" ht="51" x14ac:dyDescent="0.3">
      <c r="A17" s="69" t="str">
        <f t="shared" ca="1" si="0"/>
        <v/>
      </c>
      <c r="B17" s="74">
        <f ca="1">'דוח הכנה chrome'!T11</f>
        <v>44750</v>
      </c>
      <c r="C17" s="69" t="str">
        <f>IF('דוח הכנה chrome'!C11="","",'דוח הכנה chrome'!C11)</f>
        <v>ראשון</v>
      </c>
      <c r="D17" s="69">
        <f t="shared" si="1"/>
        <v>2</v>
      </c>
      <c r="E17" s="69" t="str">
        <f ca="1">IFERROR(IF(VLOOKUP(B17,'דוח הכנה chrome'!T11:AB54,9,0)="ארוחת צהרים",10,""),"")</f>
        <v/>
      </c>
      <c r="F17" s="69" t="str">
        <f>IFERROR('דוח הכנה chrome'!F11,"")</f>
        <v>7.53</v>
      </c>
      <c r="G17" s="69" t="str">
        <f>IFERROR('דוח הכנה chrome'!G11,"")</f>
        <v>17.09</v>
      </c>
      <c r="H17" s="69" t="s">
        <v>56</v>
      </c>
      <c r="I17" s="69" t="s">
        <v>56</v>
      </c>
      <c r="J17" s="84">
        <f>IFERROR('דוח הכנה chrome'!AC11,"")</f>
        <v>0</v>
      </c>
      <c r="K17" s="85" t="s">
        <v>56</v>
      </c>
      <c r="L17" s="85" t="s">
        <v>56</v>
      </c>
      <c r="M17" s="85" t="s">
        <v>56</v>
      </c>
      <c r="N17" s="85">
        <f>IFERROR('דוח הכנה chrome'!AC11,"")</f>
        <v>0</v>
      </c>
      <c r="O17" s="86" t="s">
        <v>56</v>
      </c>
    </row>
    <row r="18" spans="1:15" ht="51" x14ac:dyDescent="0.3">
      <c r="A18" s="69" t="str">
        <f t="shared" ca="1" si="0"/>
        <v/>
      </c>
      <c r="B18" s="74">
        <f ca="1">'דוח הכנה chrome'!T12</f>
        <v>44751</v>
      </c>
      <c r="C18" s="69" t="str">
        <f>IF('דוח הכנה chrome'!C12="","",'דוח הכנה chrome'!C12)</f>
        <v>שני</v>
      </c>
      <c r="D18" s="69">
        <f t="shared" si="1"/>
        <v>2</v>
      </c>
      <c r="E18" s="69" t="str">
        <f ca="1">IFERROR(IF(VLOOKUP(B18,'דוח הכנה chrome'!T12:AB55,9,0)="ארוחת צהרים",10,""),"")</f>
        <v/>
      </c>
      <c r="F18" s="69" t="str">
        <f>IFERROR('דוח הכנה chrome'!F12,"")</f>
        <v>7.48</v>
      </c>
      <c r="G18" s="69" t="str">
        <f>IFERROR('דוח הכנה chrome'!G12,"")</f>
        <v>17.09</v>
      </c>
      <c r="H18" s="69" t="s">
        <v>56</v>
      </c>
      <c r="I18" s="69" t="s">
        <v>56</v>
      </c>
      <c r="J18" s="84">
        <f>IFERROR('דוח הכנה chrome'!AC12,"")</f>
        <v>0</v>
      </c>
      <c r="K18" s="85" t="s">
        <v>56</v>
      </c>
      <c r="L18" s="85" t="s">
        <v>56</v>
      </c>
      <c r="M18" s="85" t="s">
        <v>56</v>
      </c>
      <c r="N18" s="85">
        <f>IFERROR('דוח הכנה chrome'!AC12,"")</f>
        <v>0</v>
      </c>
      <c r="O18" s="86" t="s">
        <v>56</v>
      </c>
    </row>
    <row r="19" spans="1:15" ht="51" x14ac:dyDescent="0.3">
      <c r="A19" s="69" t="str">
        <f t="shared" ca="1" si="0"/>
        <v/>
      </c>
      <c r="B19" s="74">
        <f ca="1">'דוח הכנה chrome'!T13</f>
        <v>44752</v>
      </c>
      <c r="C19" s="69" t="str">
        <f>IF('דוח הכנה chrome'!C13="","",'דוח הכנה chrome'!C13)</f>
        <v>שלישי</v>
      </c>
      <c r="D19" s="69">
        <f t="shared" si="1"/>
        <v>2</v>
      </c>
      <c r="E19" s="69" t="str">
        <f ca="1">IFERROR(IF(VLOOKUP(B19,'דוח הכנה chrome'!T13:AB56,9,0)="ארוחת צהרים",10,""),"")</f>
        <v/>
      </c>
      <c r="F19" s="69" t="str">
        <f>IFERROR('דוח הכנה chrome'!F13,"")</f>
        <v>7.47</v>
      </c>
      <c r="G19" s="69" t="str">
        <f>IFERROR('דוח הכנה chrome'!G13,"")</f>
        <v>17.09</v>
      </c>
      <c r="H19" s="69" t="s">
        <v>56</v>
      </c>
      <c r="I19" s="69" t="s">
        <v>56</v>
      </c>
      <c r="J19" s="84">
        <f>IFERROR('דוח הכנה chrome'!AC13,"")</f>
        <v>0</v>
      </c>
      <c r="K19" s="85" t="s">
        <v>56</v>
      </c>
      <c r="L19" s="85" t="s">
        <v>56</v>
      </c>
      <c r="M19" s="85" t="s">
        <v>56</v>
      </c>
      <c r="N19" s="85">
        <f>IFERROR('דוח הכנה chrome'!AC13,"")</f>
        <v>0</v>
      </c>
      <c r="O19" s="86" t="s">
        <v>56</v>
      </c>
    </row>
    <row r="20" spans="1:15" ht="51" x14ac:dyDescent="0.3">
      <c r="A20" s="69" t="str">
        <f t="shared" ca="1" si="0"/>
        <v/>
      </c>
      <c r="B20" s="74">
        <f ca="1">'דוח הכנה chrome'!T14</f>
        <v>44753</v>
      </c>
      <c r="C20" s="69" t="str">
        <f>IF('דוח הכנה chrome'!C14="","",'דוח הכנה chrome'!C14)</f>
        <v>רביעי</v>
      </c>
      <c r="D20" s="69">
        <f t="shared" si="1"/>
        <v>2</v>
      </c>
      <c r="E20" s="69" t="str">
        <f ca="1">IFERROR(IF(VLOOKUP(B20,'דוח הכנה chrome'!T14:AB57,9,0)="ארוחת צהרים",10,""),"")</f>
        <v/>
      </c>
      <c r="F20" s="69" t="str">
        <f>IFERROR('דוח הכנה chrome'!F14,"")</f>
        <v>7.51</v>
      </c>
      <c r="G20" s="69" t="str">
        <f>IFERROR('דוח הכנה chrome'!G14,"")</f>
        <v>17.00</v>
      </c>
      <c r="H20" s="69" t="s">
        <v>56</v>
      </c>
      <c r="I20" s="69" t="s">
        <v>56</v>
      </c>
      <c r="J20" s="84">
        <f>IFERROR('דוח הכנה chrome'!AC14,"")</f>
        <v>0</v>
      </c>
      <c r="K20" s="85" t="s">
        <v>56</v>
      </c>
      <c r="L20" s="85" t="s">
        <v>56</v>
      </c>
      <c r="M20" s="85" t="s">
        <v>56</v>
      </c>
      <c r="N20" s="85">
        <f>IFERROR('דוח הכנה chrome'!AC14,"")</f>
        <v>0</v>
      </c>
      <c r="O20" s="86" t="s">
        <v>56</v>
      </c>
    </row>
    <row r="21" spans="1:15" ht="51" x14ac:dyDescent="0.3">
      <c r="A21" s="69" t="str">
        <f t="shared" ca="1" si="0"/>
        <v/>
      </c>
      <c r="B21" s="74">
        <f ca="1">'דוח הכנה chrome'!T15</f>
        <v>44754</v>
      </c>
      <c r="C21" s="69" t="str">
        <f>IF('דוח הכנה chrome'!C15="","",'דוח הכנה chrome'!C15)</f>
        <v>חמישי</v>
      </c>
      <c r="D21" s="69">
        <f t="shared" si="1"/>
        <v>1</v>
      </c>
      <c r="E21" s="69" t="str">
        <f ca="1">IFERROR(IF(VLOOKUP(B21,'דוח הכנה chrome'!T15:AB58,9,0)="ארוחת צהרים",10,""),"")</f>
        <v/>
      </c>
      <c r="F21" s="69">
        <f>IFERROR('דוח הכנה chrome'!F15,"")</f>
        <v>0</v>
      </c>
      <c r="G21" s="69">
        <f>IFERROR('דוח הכנה chrome'!G15,"")</f>
        <v>0</v>
      </c>
      <c r="H21" s="69" t="s">
        <v>56</v>
      </c>
      <c r="I21" s="69" t="s">
        <v>56</v>
      </c>
      <c r="J21" s="84">
        <f>IFERROR('דוח הכנה chrome'!AC15,"")</f>
        <v>0</v>
      </c>
      <c r="K21" s="85" t="s">
        <v>56</v>
      </c>
      <c r="L21" s="85" t="s">
        <v>56</v>
      </c>
      <c r="M21" s="85" t="s">
        <v>56</v>
      </c>
      <c r="N21" s="85">
        <f>IFERROR('דוח הכנה chrome'!AC15,"")</f>
        <v>0</v>
      </c>
      <c r="O21" s="86" t="s">
        <v>56</v>
      </c>
    </row>
    <row r="22" spans="1:15" ht="25.5" x14ac:dyDescent="0.3">
      <c r="A22" s="69" t="str">
        <f t="shared" ca="1" si="0"/>
        <v/>
      </c>
      <c r="B22" s="74">
        <f ca="1">'דוח הכנה chrome'!T16</f>
        <v>44755</v>
      </c>
      <c r="C22" s="69" t="str">
        <f>IF('דוח הכנה chrome'!C16="","",'דוח הכנה chrome'!C16)</f>
        <v>שישי</v>
      </c>
      <c r="D22" s="69">
        <f t="shared" si="1"/>
        <v>1</v>
      </c>
      <c r="E22" s="69" t="str">
        <f ca="1">IFERROR(IF(VLOOKUP(B22,'דוח הכנה chrome'!T16:AB59,9,0)="ארוחת צהרים",10,""),"")</f>
        <v/>
      </c>
      <c r="F22" s="69">
        <f>IFERROR('דוח הכנה chrome'!F16,"")</f>
        <v>0</v>
      </c>
      <c r="G22" s="69">
        <f>IFERROR('דוח הכנה chrome'!G16,"")</f>
        <v>0</v>
      </c>
      <c r="H22" s="69" t="s">
        <v>56</v>
      </c>
      <c r="I22" s="69" t="s">
        <v>56</v>
      </c>
      <c r="J22" s="84">
        <f>IFERROR('דוח הכנה chrome'!AC16,"")</f>
        <v>0</v>
      </c>
      <c r="K22" s="85" t="s">
        <v>56</v>
      </c>
      <c r="L22" s="85" t="s">
        <v>56</v>
      </c>
      <c r="M22" s="85" t="s">
        <v>56</v>
      </c>
      <c r="N22" s="85">
        <f>IFERROR('דוח הכנה chrome'!AC16,"")</f>
        <v>0</v>
      </c>
      <c r="O22" s="86" t="s">
        <v>56</v>
      </c>
    </row>
    <row r="23" spans="1:15" ht="25.5" x14ac:dyDescent="0.3">
      <c r="A23" s="69" t="str">
        <f t="shared" ca="1" si="0"/>
        <v/>
      </c>
      <c r="B23" s="74">
        <f ca="1">'דוח הכנה chrome'!T17</f>
        <v>44756</v>
      </c>
      <c r="C23" s="69" t="str">
        <f>IF('דוח הכנה chrome'!C17="","",'דוח הכנה chrome'!C17)</f>
        <v>שבת</v>
      </c>
      <c r="D23" s="69">
        <f t="shared" si="1"/>
        <v>1</v>
      </c>
      <c r="E23" s="69" t="str">
        <f ca="1">IFERROR(IF(VLOOKUP(B23,'דוח הכנה chrome'!T17:AB60,9,0)="ארוחת צהרים",10,""),"")</f>
        <v/>
      </c>
      <c r="F23" s="69">
        <f>IFERROR('דוח הכנה chrome'!F17,"")</f>
        <v>0</v>
      </c>
      <c r="G23" s="69">
        <f>IFERROR('דוח הכנה chrome'!G17,"")</f>
        <v>0</v>
      </c>
      <c r="H23" s="62" t="s">
        <v>56</v>
      </c>
      <c r="I23" s="62"/>
      <c r="J23" s="84">
        <f>IFERROR('דוח הכנה chrome'!AC17,"")</f>
        <v>0</v>
      </c>
      <c r="K23" s="87" t="s">
        <v>56</v>
      </c>
      <c r="L23" s="87" t="s">
        <v>56</v>
      </c>
      <c r="M23" s="87" t="s">
        <v>56</v>
      </c>
      <c r="N23" s="85">
        <f>IFERROR('דוח הכנה chrome'!AC17,"")</f>
        <v>0</v>
      </c>
      <c r="O23" s="89" t="s">
        <v>56</v>
      </c>
    </row>
    <row r="24" spans="1:15" ht="25.5" x14ac:dyDescent="0.3">
      <c r="A24" s="69" t="str">
        <f t="shared" ca="1" si="0"/>
        <v>ס.שבועי</v>
      </c>
      <c r="B24" s="74">
        <f ca="1">'דוח הכנה chrome'!T18</f>
        <v>44756</v>
      </c>
      <c r="C24" s="69" t="str">
        <f>IF('דוח הכנה chrome'!C18="","",'דוח הכנה chrome'!C18)</f>
        <v/>
      </c>
      <c r="D24" s="69">
        <f t="shared" si="1"/>
        <v>1</v>
      </c>
      <c r="E24" s="69" t="str">
        <f ca="1">IFERROR(IF(VLOOKUP(B24,'דוח הכנה chrome'!T18:AB61,9,0)="ארוחת צהרים",10,""),"")</f>
        <v/>
      </c>
      <c r="F24" s="69">
        <f>IFERROR('דוח הכנה chrome'!F18,"")</f>
        <v>0</v>
      </c>
      <c r="G24" s="69">
        <f>IFERROR('דוח הכנה chrome'!G18,"")</f>
        <v>0</v>
      </c>
      <c r="H24" s="69" t="s">
        <v>56</v>
      </c>
      <c r="I24" s="69" t="s">
        <v>56</v>
      </c>
      <c r="J24" s="84">
        <f>IFERROR('דוח הכנה chrome'!AC18,"")</f>
        <v>0</v>
      </c>
      <c r="K24" s="85" t="s">
        <v>56</v>
      </c>
      <c r="L24" s="85" t="s">
        <v>56</v>
      </c>
      <c r="M24" s="85" t="s">
        <v>56</v>
      </c>
      <c r="N24" s="85">
        <f>IFERROR('דוח הכנה chrome'!AC18,"")</f>
        <v>0</v>
      </c>
      <c r="O24" s="86" t="s">
        <v>56</v>
      </c>
    </row>
    <row r="25" spans="1:15" ht="51" x14ac:dyDescent="0.3">
      <c r="A25" s="69" t="str">
        <f t="shared" ca="1" si="0"/>
        <v/>
      </c>
      <c r="B25" s="74">
        <f ca="1">'דוח הכנה chrome'!T19</f>
        <v>44757</v>
      </c>
      <c r="C25" s="69" t="str">
        <f>IF('דוח הכנה chrome'!C19="","",'דוח הכנה chrome'!C19)</f>
        <v>ראשון</v>
      </c>
      <c r="D25" s="69">
        <f t="shared" si="1"/>
        <v>1</v>
      </c>
      <c r="E25" s="69" t="str">
        <f ca="1">IFERROR(IF(VLOOKUP(B25,'דוח הכנה chrome'!T19:AB62,9,0)="ארוחת צהרים",10,""),"")</f>
        <v/>
      </c>
      <c r="F25" s="69">
        <f>IFERROR('דוח הכנה chrome'!F19,"")</f>
        <v>0</v>
      </c>
      <c r="G25" s="69">
        <f>IFERROR('דוח הכנה chrome'!G19,"")</f>
        <v>0</v>
      </c>
      <c r="H25" s="69" t="s">
        <v>56</v>
      </c>
      <c r="I25" s="69" t="s">
        <v>56</v>
      </c>
      <c r="J25" s="84">
        <f>IFERROR('דוח הכנה chrome'!AC19,"")</f>
        <v>0</v>
      </c>
      <c r="K25" s="85" t="s">
        <v>56</v>
      </c>
      <c r="L25" s="85" t="s">
        <v>56</v>
      </c>
      <c r="M25" s="85" t="s">
        <v>56</v>
      </c>
      <c r="N25" s="85">
        <f>IFERROR('דוח הכנה chrome'!AC19,"")</f>
        <v>0</v>
      </c>
      <c r="O25" s="86" t="s">
        <v>56</v>
      </c>
    </row>
    <row r="26" spans="1:15" ht="25.5" x14ac:dyDescent="0.3">
      <c r="A26" s="69" t="str">
        <f t="shared" ca="1" si="0"/>
        <v/>
      </c>
      <c r="B26" s="74">
        <f ca="1">'דוח הכנה chrome'!T20</f>
        <v>44758</v>
      </c>
      <c r="C26" s="69" t="str">
        <f>IF('דוח הכנה chrome'!C20="","",'דוח הכנה chrome'!C20)</f>
        <v>שני</v>
      </c>
      <c r="D26" s="69">
        <f t="shared" si="1"/>
        <v>1</v>
      </c>
      <c r="E26" s="69" t="str">
        <f ca="1">IFERROR(IF(VLOOKUP(B26,'דוח הכנה chrome'!T20:AB63,9,0)="ארוחת צהרים",10,""),"")</f>
        <v/>
      </c>
      <c r="F26" s="69">
        <f>IFERROR('דוח הכנה chrome'!F20,"")</f>
        <v>0</v>
      </c>
      <c r="G26" s="69">
        <f>IFERROR('דוח הכנה chrome'!G20,"")</f>
        <v>0</v>
      </c>
      <c r="H26" s="69" t="s">
        <v>56</v>
      </c>
      <c r="I26" s="69" t="s">
        <v>56</v>
      </c>
      <c r="J26" s="84">
        <f>IFERROR('דוח הכנה chrome'!AC20,"")</f>
        <v>0</v>
      </c>
      <c r="K26" s="85" t="s">
        <v>56</v>
      </c>
      <c r="L26" s="85" t="s">
        <v>56</v>
      </c>
      <c r="M26" s="85" t="s">
        <v>56</v>
      </c>
      <c r="N26" s="85">
        <f>IFERROR('דוח הכנה chrome'!AC20,"")</f>
        <v>0</v>
      </c>
      <c r="O26" s="86" t="s">
        <v>56</v>
      </c>
    </row>
    <row r="27" spans="1:15" ht="51" x14ac:dyDescent="0.3">
      <c r="A27" s="69" t="str">
        <f t="shared" ca="1" si="0"/>
        <v/>
      </c>
      <c r="B27" s="74">
        <f ca="1">'דוח הכנה chrome'!T21</f>
        <v>44759</v>
      </c>
      <c r="C27" s="69" t="str">
        <f>IF('דוח הכנה chrome'!C21="","",'דוח הכנה chrome'!C21)</f>
        <v>שלישי</v>
      </c>
      <c r="D27" s="69">
        <f t="shared" si="1"/>
        <v>1</v>
      </c>
      <c r="E27" s="69" t="str">
        <f ca="1">IFERROR(IF(VLOOKUP(B27,'דוח הכנה chrome'!T21:AB64,9,0)="ארוחת צהרים",10,""),"")</f>
        <v/>
      </c>
      <c r="F27" s="69">
        <f>IFERROR('דוח הכנה chrome'!F21,"")</f>
        <v>0</v>
      </c>
      <c r="G27" s="69">
        <f>IFERROR('דוח הכנה chrome'!G21,"")</f>
        <v>0</v>
      </c>
      <c r="H27" s="69" t="s">
        <v>56</v>
      </c>
      <c r="I27" s="69" t="s">
        <v>56</v>
      </c>
      <c r="J27" s="84">
        <f>IFERROR('דוח הכנה chrome'!AC21,"")</f>
        <v>0</v>
      </c>
      <c r="K27" s="85" t="s">
        <v>56</v>
      </c>
      <c r="L27" s="85" t="s">
        <v>56</v>
      </c>
      <c r="M27" s="85" t="s">
        <v>56</v>
      </c>
      <c r="N27" s="85">
        <f>IFERROR('דוח הכנה chrome'!AC21,"")</f>
        <v>0</v>
      </c>
      <c r="O27" s="86" t="s">
        <v>56</v>
      </c>
    </row>
    <row r="28" spans="1:15" ht="25.5" x14ac:dyDescent="0.3">
      <c r="A28" s="69" t="str">
        <f t="shared" ca="1" si="0"/>
        <v/>
      </c>
      <c r="B28" s="74">
        <f ca="1">'דוח הכנה chrome'!T22</f>
        <v>44760</v>
      </c>
      <c r="C28" s="69" t="str">
        <f>IF('דוח הכנה chrome'!C22="","",'דוח הכנה chrome'!C22)</f>
        <v>רביעי</v>
      </c>
      <c r="D28" s="69">
        <f t="shared" si="1"/>
        <v>1</v>
      </c>
      <c r="E28" s="69" t="str">
        <f ca="1">IFERROR(IF(VLOOKUP(B28,'דוח הכנה chrome'!T22:AB65,9,0)="ארוחת צהרים",10,""),"")</f>
        <v/>
      </c>
      <c r="F28" s="69">
        <f>IFERROR('דוח הכנה chrome'!F22,"")</f>
        <v>0</v>
      </c>
      <c r="G28" s="69">
        <f>IFERROR('דוח הכנה chrome'!G22,"")</f>
        <v>0</v>
      </c>
      <c r="H28" s="69" t="s">
        <v>56</v>
      </c>
      <c r="I28" s="69" t="s">
        <v>56</v>
      </c>
      <c r="J28" s="84">
        <f>IFERROR('דוח הכנה chrome'!AC22,"")</f>
        <v>0</v>
      </c>
      <c r="K28" s="85" t="s">
        <v>56</v>
      </c>
      <c r="L28" s="85" t="s">
        <v>56</v>
      </c>
      <c r="M28" s="85" t="s">
        <v>56</v>
      </c>
      <c r="N28" s="85">
        <f>IFERROR('דוח הכנה chrome'!AC22,"")</f>
        <v>0</v>
      </c>
      <c r="O28" s="86" t="s">
        <v>56</v>
      </c>
    </row>
    <row r="29" spans="1:15" ht="51" x14ac:dyDescent="0.3">
      <c r="A29" s="69" t="str">
        <f t="shared" ca="1" si="0"/>
        <v/>
      </c>
      <c r="B29" s="74">
        <f ca="1">'דוח הכנה chrome'!T23</f>
        <v>44761</v>
      </c>
      <c r="C29" s="69" t="str">
        <f>IF('דוח הכנה chrome'!C23="","",'דוח הכנה chrome'!C23)</f>
        <v>חמישי</v>
      </c>
      <c r="D29" s="69">
        <f t="shared" si="1"/>
        <v>1</v>
      </c>
      <c r="E29" s="69" t="str">
        <f ca="1">IFERROR(IF(VLOOKUP(B29,'דוח הכנה chrome'!T23:AB66,9,0)="ארוחת צהרים",10,""),"")</f>
        <v/>
      </c>
      <c r="F29" s="69">
        <f>IFERROR('דוח הכנה chrome'!F23,"")</f>
        <v>0</v>
      </c>
      <c r="G29" s="69">
        <f>IFERROR('דוח הכנה chrome'!G23,"")</f>
        <v>0</v>
      </c>
      <c r="H29" s="69" t="s">
        <v>56</v>
      </c>
      <c r="I29" s="69" t="s">
        <v>56</v>
      </c>
      <c r="J29" s="84">
        <f>IFERROR('דוח הכנה chrome'!AC23,"")</f>
        <v>0</v>
      </c>
      <c r="K29" s="85" t="s">
        <v>56</v>
      </c>
      <c r="L29" s="85" t="s">
        <v>56</v>
      </c>
      <c r="M29" s="85" t="s">
        <v>56</v>
      </c>
      <c r="N29" s="85">
        <f>IFERROR('דוח הכנה chrome'!AC23,"")</f>
        <v>0</v>
      </c>
      <c r="O29" s="86" t="s">
        <v>56</v>
      </c>
    </row>
    <row r="30" spans="1:15" ht="25.5" x14ac:dyDescent="0.3">
      <c r="A30" s="69" t="str">
        <f t="shared" ca="1" si="0"/>
        <v/>
      </c>
      <c r="B30" s="74">
        <f ca="1">'דוח הכנה chrome'!T24</f>
        <v>44762</v>
      </c>
      <c r="C30" s="69" t="str">
        <f>IF('דוח הכנה chrome'!C24="","",'דוח הכנה chrome'!C24)</f>
        <v>שישי</v>
      </c>
      <c r="D30" s="69">
        <f t="shared" si="1"/>
        <v>1</v>
      </c>
      <c r="E30" s="69" t="str">
        <f ca="1">IFERROR(IF(VLOOKUP(B30,'דוח הכנה chrome'!T24:AB67,9,0)="ארוחת צהרים",10,""),"")</f>
        <v/>
      </c>
      <c r="F30" s="69">
        <f>IFERROR('דוח הכנה chrome'!F24,"")</f>
        <v>0</v>
      </c>
      <c r="G30" s="69">
        <f>IFERROR('דוח הכנה chrome'!G24,"")</f>
        <v>0</v>
      </c>
      <c r="H30" s="69" t="s">
        <v>56</v>
      </c>
      <c r="I30" s="69" t="s">
        <v>56</v>
      </c>
      <c r="J30" s="84">
        <f>IFERROR('דוח הכנה chrome'!AC24,"")</f>
        <v>0</v>
      </c>
      <c r="K30" s="85" t="s">
        <v>56</v>
      </c>
      <c r="L30" s="85" t="s">
        <v>56</v>
      </c>
      <c r="M30" s="85" t="s">
        <v>56</v>
      </c>
      <c r="N30" s="85">
        <f>IFERROR('דוח הכנה chrome'!AC24,"")</f>
        <v>0</v>
      </c>
      <c r="O30" s="86" t="s">
        <v>56</v>
      </c>
    </row>
    <row r="31" spans="1:15" ht="25.5" x14ac:dyDescent="0.3">
      <c r="A31" s="69" t="str">
        <f t="shared" ca="1" si="0"/>
        <v/>
      </c>
      <c r="B31" s="74">
        <f ca="1">'דוח הכנה chrome'!T25</f>
        <v>44763</v>
      </c>
      <c r="C31" s="69" t="str">
        <f>IF('דוח הכנה chrome'!C25="","",'דוח הכנה chrome'!C25)</f>
        <v>שבת</v>
      </c>
      <c r="D31" s="69">
        <f t="shared" si="1"/>
        <v>1</v>
      </c>
      <c r="E31" s="69" t="str">
        <f ca="1">IFERROR(IF(VLOOKUP(B31,'דוח הכנה chrome'!T25:AB68,9,0)="ארוחת צהרים",10,""),"")</f>
        <v/>
      </c>
      <c r="F31" s="69">
        <f>IFERROR('דוח הכנה chrome'!F25,"")</f>
        <v>0</v>
      </c>
      <c r="G31" s="69">
        <f>IFERROR('דוח הכנה chrome'!G25,"")</f>
        <v>0</v>
      </c>
      <c r="H31" s="62" t="s">
        <v>56</v>
      </c>
      <c r="I31" s="62"/>
      <c r="J31" s="84">
        <f>IFERROR('דוח הכנה chrome'!AC25,"")</f>
        <v>0</v>
      </c>
      <c r="K31" s="87" t="s">
        <v>56</v>
      </c>
      <c r="L31" s="87" t="s">
        <v>56</v>
      </c>
      <c r="M31" s="87" t="s">
        <v>56</v>
      </c>
      <c r="N31" s="85">
        <f>IFERROR('דוח הכנה chrome'!AC25,"")</f>
        <v>0</v>
      </c>
      <c r="O31" s="89" t="s">
        <v>56</v>
      </c>
    </row>
    <row r="32" spans="1:15" ht="25.5" x14ac:dyDescent="0.3">
      <c r="A32" s="69" t="str">
        <f t="shared" ca="1" si="0"/>
        <v>ס.שבועי</v>
      </c>
      <c r="B32" s="74">
        <f ca="1">'דוח הכנה chrome'!T26</f>
        <v>44763</v>
      </c>
      <c r="C32" s="69" t="str">
        <f>IF('דוח הכנה chrome'!C26="","",'דוח הכנה chrome'!C26)</f>
        <v/>
      </c>
      <c r="D32" s="69">
        <f t="shared" si="1"/>
        <v>1</v>
      </c>
      <c r="E32" s="69" t="str">
        <f ca="1">IFERROR(IF(VLOOKUP(B32,'דוח הכנה chrome'!T26:AB69,9,0)="ארוחת צהרים",10,""),"")</f>
        <v/>
      </c>
      <c r="F32" s="69">
        <f>IFERROR('דוח הכנה chrome'!F26,"")</f>
        <v>0</v>
      </c>
      <c r="G32" s="69">
        <f>IFERROR('דוח הכנה chrome'!G26,"")</f>
        <v>0</v>
      </c>
      <c r="H32" s="69" t="s">
        <v>56</v>
      </c>
      <c r="I32" s="69" t="s">
        <v>56</v>
      </c>
      <c r="J32" s="84">
        <f>IFERROR('דוח הכנה chrome'!AC26,"")</f>
        <v>0</v>
      </c>
      <c r="K32" s="85" t="s">
        <v>56</v>
      </c>
      <c r="L32" s="85" t="s">
        <v>56</v>
      </c>
      <c r="M32" s="85" t="s">
        <v>56</v>
      </c>
      <c r="N32" s="85">
        <f>IFERROR('דוח הכנה chrome'!AC26,"")</f>
        <v>0</v>
      </c>
      <c r="O32" s="86" t="s">
        <v>56</v>
      </c>
    </row>
    <row r="33" spans="1:15" ht="51" x14ac:dyDescent="0.3">
      <c r="A33" s="69" t="str">
        <f t="shared" ca="1" si="0"/>
        <v/>
      </c>
      <c r="B33" s="74">
        <f ca="1">'דוח הכנה chrome'!T27</f>
        <v>44764</v>
      </c>
      <c r="C33" s="69" t="str">
        <f>IF('דוח הכנה chrome'!C27="","",'דוח הכנה chrome'!C27)</f>
        <v>ראשון</v>
      </c>
      <c r="D33" s="69">
        <f t="shared" si="1"/>
        <v>1</v>
      </c>
      <c r="E33" s="69" t="str">
        <f ca="1">IFERROR(IF(VLOOKUP(B33,'דוח הכנה chrome'!T27:AB70,9,0)="ארוחת צהרים",10,""),"")</f>
        <v/>
      </c>
      <c r="F33" s="69">
        <f>IFERROR('דוח הכנה chrome'!F27,"")</f>
        <v>0</v>
      </c>
      <c r="G33" s="69">
        <f>IFERROR('דוח הכנה chrome'!G27,"")</f>
        <v>0</v>
      </c>
      <c r="H33" s="69" t="s">
        <v>56</v>
      </c>
      <c r="I33" s="69" t="s">
        <v>56</v>
      </c>
      <c r="J33" s="84">
        <f>IFERROR('דוח הכנה chrome'!AC27,"")</f>
        <v>0</v>
      </c>
      <c r="K33" s="85" t="s">
        <v>56</v>
      </c>
      <c r="L33" s="85" t="s">
        <v>56</v>
      </c>
      <c r="M33" s="85" t="s">
        <v>56</v>
      </c>
      <c r="N33" s="85">
        <f>IFERROR('דוח הכנה chrome'!AC27,"")</f>
        <v>0</v>
      </c>
      <c r="O33" s="86" t="s">
        <v>56</v>
      </c>
    </row>
    <row r="34" spans="1:15" ht="25.5" x14ac:dyDescent="0.3">
      <c r="A34" s="69" t="str">
        <f t="shared" ca="1" si="0"/>
        <v/>
      </c>
      <c r="B34" s="74">
        <f ca="1">'דוח הכנה chrome'!T28</f>
        <v>44765</v>
      </c>
      <c r="C34" s="69" t="str">
        <f>IF('דוח הכנה chrome'!C28="","",'דוח הכנה chrome'!C28)</f>
        <v>שני</v>
      </c>
      <c r="D34" s="69">
        <f t="shared" si="1"/>
        <v>1</v>
      </c>
      <c r="E34" s="69" t="str">
        <f ca="1">IFERROR(IF(VLOOKUP(B34,'דוח הכנה chrome'!T28:AB71,9,0)="ארוחת צהרים",10,""),"")</f>
        <v/>
      </c>
      <c r="F34" s="69">
        <f>IFERROR('דוח הכנה chrome'!F28,"")</f>
        <v>0</v>
      </c>
      <c r="G34" s="69">
        <f>IFERROR('דוח הכנה chrome'!G28,"")</f>
        <v>0</v>
      </c>
      <c r="H34" s="69" t="s">
        <v>56</v>
      </c>
      <c r="I34" s="69" t="s">
        <v>56</v>
      </c>
      <c r="J34" s="84">
        <f>IFERROR('דוח הכנה chrome'!AC28,"")</f>
        <v>0</v>
      </c>
      <c r="K34" s="85" t="s">
        <v>56</v>
      </c>
      <c r="L34" s="85" t="s">
        <v>56</v>
      </c>
      <c r="M34" s="85" t="s">
        <v>56</v>
      </c>
      <c r="N34" s="85">
        <f>IFERROR('דוח הכנה chrome'!AC28,"")</f>
        <v>0</v>
      </c>
      <c r="O34" s="86" t="s">
        <v>56</v>
      </c>
    </row>
    <row r="35" spans="1:15" ht="51" x14ac:dyDescent="0.3">
      <c r="A35" s="69" t="str">
        <f t="shared" ca="1" si="0"/>
        <v/>
      </c>
      <c r="B35" s="74">
        <f ca="1">'דוח הכנה chrome'!T29</f>
        <v>44766</v>
      </c>
      <c r="C35" s="69" t="str">
        <f>IF('דוח הכנה chrome'!C29="","",'דוח הכנה chrome'!C29)</f>
        <v>שלישי</v>
      </c>
      <c r="D35" s="69">
        <f t="shared" si="1"/>
        <v>1</v>
      </c>
      <c r="E35" s="69" t="str">
        <f ca="1">IFERROR(IF(VLOOKUP(B35,'דוח הכנה chrome'!T29:AB72,9,0)="ארוחת צהרים",10,""),"")</f>
        <v/>
      </c>
      <c r="F35" s="69">
        <f>IFERROR('דוח הכנה chrome'!F29,"")</f>
        <v>0</v>
      </c>
      <c r="G35" s="69">
        <f>IFERROR('דוח הכנה chrome'!G29,"")</f>
        <v>0</v>
      </c>
      <c r="H35" s="69" t="s">
        <v>56</v>
      </c>
      <c r="I35" s="69" t="s">
        <v>56</v>
      </c>
      <c r="J35" s="84">
        <f>IFERROR('דוח הכנה chrome'!AC29,"")</f>
        <v>0</v>
      </c>
      <c r="K35" s="85" t="s">
        <v>56</v>
      </c>
      <c r="L35" s="85" t="s">
        <v>56</v>
      </c>
      <c r="M35" s="85" t="s">
        <v>56</v>
      </c>
      <c r="N35" s="85">
        <f>IFERROR('דוח הכנה chrome'!AC29,"")</f>
        <v>0</v>
      </c>
      <c r="O35" s="86" t="s">
        <v>56</v>
      </c>
    </row>
    <row r="36" spans="1:15" ht="25.5" x14ac:dyDescent="0.3">
      <c r="A36" s="69" t="str">
        <f t="shared" ca="1" si="0"/>
        <v/>
      </c>
      <c r="B36" s="74">
        <f ca="1">'דוח הכנה chrome'!T30</f>
        <v>44767</v>
      </c>
      <c r="C36" s="69" t="str">
        <f>IF('דוח הכנה chrome'!C30="","",'דוח הכנה chrome'!C30)</f>
        <v>רביעי</v>
      </c>
      <c r="D36" s="69">
        <f t="shared" si="1"/>
        <v>1</v>
      </c>
      <c r="E36" s="69" t="str">
        <f ca="1">IFERROR(IF(VLOOKUP(B36,'דוח הכנה chrome'!T30:AB73,9,0)="ארוחת צהרים",10,""),"")</f>
        <v/>
      </c>
      <c r="F36" s="69">
        <f>IFERROR('דוח הכנה chrome'!F30,"")</f>
        <v>0</v>
      </c>
      <c r="G36" s="69">
        <f>IFERROR('דוח הכנה chrome'!G30,"")</f>
        <v>0</v>
      </c>
      <c r="H36" s="69" t="s">
        <v>56</v>
      </c>
      <c r="I36" s="69" t="s">
        <v>56</v>
      </c>
      <c r="J36" s="84">
        <f>IFERROR('דוח הכנה chrome'!AC30,"")</f>
        <v>0</v>
      </c>
      <c r="K36" s="85" t="s">
        <v>56</v>
      </c>
      <c r="L36" s="85" t="s">
        <v>56</v>
      </c>
      <c r="M36" s="85" t="s">
        <v>56</v>
      </c>
      <c r="N36" s="85">
        <f>IFERROR('דוח הכנה chrome'!AC30,"")</f>
        <v>0</v>
      </c>
      <c r="O36" s="86" t="s">
        <v>56</v>
      </c>
    </row>
    <row r="37" spans="1:15" ht="25.5" x14ac:dyDescent="0.3">
      <c r="A37" s="69" t="e">
        <f t="shared" ca="1" si="0"/>
        <v>#REF!</v>
      </c>
      <c r="B37" s="74" t="e">
        <f>'דוח הכנה chrome'!#REF!</f>
        <v>#REF!</v>
      </c>
      <c r="C37" s="69" t="e">
        <f>IF('דוח הכנה chrome'!#REF!="","",'דוח הכנה chrome'!#REF!)</f>
        <v>#REF!</v>
      </c>
      <c r="D37" s="69">
        <f t="shared" si="1"/>
        <v>2</v>
      </c>
      <c r="E37" s="69" t="str">
        <f>IFERROR(IF(VLOOKUP(B37,'דוח הכנה chrome'!T31:AB74,9,0)="ארוחת צהרים",10,""),"")</f>
        <v/>
      </c>
      <c r="F37" s="69" t="str">
        <f>IFERROR('דוח הכנה chrome'!#REF!,"")</f>
        <v/>
      </c>
      <c r="G37" s="69">
        <f>IFERROR('דוח הכנה chrome'!F31,"")</f>
        <v>0</v>
      </c>
      <c r="H37" s="69" t="s">
        <v>56</v>
      </c>
      <c r="I37" s="69" t="s">
        <v>56</v>
      </c>
      <c r="J37" s="84" t="str">
        <f>IFERROR('דוח הכנה chrome'!#REF!,"")</f>
        <v/>
      </c>
      <c r="K37" s="85" t="s">
        <v>56</v>
      </c>
      <c r="L37" s="85" t="s">
        <v>56</v>
      </c>
      <c r="M37" s="85" t="s">
        <v>56</v>
      </c>
      <c r="N37" s="85" t="str">
        <f>IFERROR('דוח הכנה chrome'!#REF!,"")</f>
        <v/>
      </c>
      <c r="O37" s="86" t="s">
        <v>56</v>
      </c>
    </row>
    <row r="38" spans="1:15" ht="51" x14ac:dyDescent="0.3">
      <c r="A38" s="69" t="e">
        <f t="shared" ca="1" si="0"/>
        <v>#REF!</v>
      </c>
      <c r="B38" s="74">
        <f ca="1">'דוח הכנה chrome'!T31</f>
        <v>44768</v>
      </c>
      <c r="C38" s="69" t="str">
        <f>IF('דוח הכנה chrome'!C31="","",'דוח הכנה chrome'!C31)</f>
        <v>חמישי</v>
      </c>
      <c r="D38" s="69">
        <f t="shared" si="1"/>
        <v>2</v>
      </c>
      <c r="E38" s="69" t="str">
        <f ca="1">IFERROR(IF(VLOOKUP(B38,'דוח הכנה chrome'!T31:AB75,9,0)="ארוחת צהרים",10,""),"")</f>
        <v/>
      </c>
      <c r="F38" s="69" t="str">
        <f>IFERROR('דוח הכנה chrome'!#REF!,"")</f>
        <v/>
      </c>
      <c r="G38" s="69">
        <f>IFERROR('דוח הכנה chrome'!G31,"")</f>
        <v>0</v>
      </c>
      <c r="H38" s="69" t="s">
        <v>56</v>
      </c>
      <c r="I38" s="69" t="s">
        <v>56</v>
      </c>
      <c r="J38" s="84">
        <f>IFERROR('דוח הכנה chrome'!AC31,"")</f>
        <v>0</v>
      </c>
      <c r="K38" s="85" t="s">
        <v>56</v>
      </c>
      <c r="L38" s="85" t="s">
        <v>56</v>
      </c>
      <c r="M38" s="85" t="s">
        <v>56</v>
      </c>
      <c r="N38" s="85">
        <f>IFERROR('דוח הכנה chrome'!AC31,"")</f>
        <v>0</v>
      </c>
      <c r="O38" s="86" t="s">
        <v>56</v>
      </c>
    </row>
    <row r="39" spans="1:15" ht="25.5" x14ac:dyDescent="0.3">
      <c r="A39" s="69" t="e">
        <f t="shared" ca="1" si="0"/>
        <v>#REF!</v>
      </c>
      <c r="B39" s="74">
        <f ca="1">'דוח הכנה chrome'!T32</f>
        <v>44769</v>
      </c>
      <c r="C39" s="69" t="str">
        <f>IF('דוח הכנה chrome'!C32="","",'דוח הכנה chrome'!C32)</f>
        <v>שישי</v>
      </c>
      <c r="D39" s="69">
        <f t="shared" si="1"/>
        <v>1</v>
      </c>
      <c r="E39" s="69" t="str">
        <f ca="1">IFERROR(IF(VLOOKUP(B39,'דוח הכנה chrome'!T32:AB76,9,0)="ארוחת צהרים",10,""),"")</f>
        <v/>
      </c>
      <c r="F39" s="69">
        <f>IFERROR('דוח הכנה chrome'!F32,"")</f>
        <v>0</v>
      </c>
      <c r="G39" s="69">
        <f>IFERROR('דוח הכנה chrome'!G32,"")</f>
        <v>0</v>
      </c>
      <c r="H39" s="62" t="s">
        <v>56</v>
      </c>
      <c r="I39" s="62"/>
      <c r="J39" s="84">
        <f>IFERROR('דוח הכנה chrome'!AC32,"")</f>
        <v>0</v>
      </c>
      <c r="K39" s="87" t="s">
        <v>56</v>
      </c>
      <c r="L39" s="87" t="s">
        <v>56</v>
      </c>
      <c r="M39" s="87" t="s">
        <v>56</v>
      </c>
      <c r="N39" s="85">
        <f>IFERROR('דוח הכנה chrome'!AC32,"")</f>
        <v>0</v>
      </c>
      <c r="O39" s="89" t="s">
        <v>56</v>
      </c>
    </row>
    <row r="40" spans="1:15" ht="25.5" x14ac:dyDescent="0.3">
      <c r="A40" s="69" t="str">
        <f t="shared" ca="1" si="0"/>
        <v/>
      </c>
      <c r="B40" s="74">
        <f ca="1">'דוח הכנה chrome'!T33</f>
        <v>44770</v>
      </c>
      <c r="C40" s="69" t="str">
        <f>IF('דוח הכנה chrome'!C33="","",'דוח הכנה chrome'!C33)</f>
        <v>שבת</v>
      </c>
      <c r="D40" s="69">
        <f t="shared" si="1"/>
        <v>1</v>
      </c>
      <c r="E40" s="69" t="str">
        <f ca="1">IFERROR(IF(VLOOKUP(B40,'דוח הכנה chrome'!T33:AB77,9,0)="ארוחת צהרים",10,""),"")</f>
        <v/>
      </c>
      <c r="F40" s="69">
        <f>IFERROR('דוח הכנה chrome'!F33,"")</f>
        <v>0</v>
      </c>
      <c r="G40" s="69">
        <f>IFERROR('דוח הכנה chrome'!G33,"")</f>
        <v>0</v>
      </c>
      <c r="H40" s="69" t="s">
        <v>56</v>
      </c>
      <c r="I40" s="69" t="s">
        <v>56</v>
      </c>
      <c r="J40" s="84">
        <f>IFERROR('דוח הכנה chrome'!AC33,"")</f>
        <v>0</v>
      </c>
      <c r="K40" s="85" t="s">
        <v>56</v>
      </c>
      <c r="L40" s="85" t="s">
        <v>56</v>
      </c>
      <c r="M40" s="85" t="s">
        <v>56</v>
      </c>
      <c r="N40" s="85">
        <f>IFERROR('דוח הכנה chrome'!AC33,"")</f>
        <v>0</v>
      </c>
      <c r="O40" s="86" t="s">
        <v>56</v>
      </c>
    </row>
    <row r="41" spans="1:15" ht="25.5" x14ac:dyDescent="0.3">
      <c r="A41" s="69" t="str">
        <f t="shared" ca="1" si="0"/>
        <v>ס.שבועי</v>
      </c>
      <c r="B41" s="74">
        <f ca="1">'דוח הכנה chrome'!T34</f>
        <v>44770</v>
      </c>
      <c r="C41" s="69" t="str">
        <f>IF('דוח הכנה chrome'!C34="","",'דוח הכנה chrome'!C34)</f>
        <v/>
      </c>
      <c r="D41" s="69">
        <f t="shared" si="1"/>
        <v>1</v>
      </c>
      <c r="E41" s="69" t="str">
        <f ca="1">IFERROR(IF(VLOOKUP(B41,'דוח הכנה chrome'!T34:AB78,9,0)="ארוחת צהרים",10,""),"")</f>
        <v/>
      </c>
      <c r="F41" s="69">
        <f>IFERROR('דוח הכנה chrome'!F34,"")</f>
        <v>0</v>
      </c>
      <c r="G41" s="69">
        <f>IFERROR('דוח הכנה chrome'!G34,"")</f>
        <v>0</v>
      </c>
      <c r="H41" s="69" t="s">
        <v>56</v>
      </c>
      <c r="I41" s="69" t="s">
        <v>56</v>
      </c>
      <c r="J41" s="84">
        <f>IFERROR('דוח הכנה chrome'!AC34,"")</f>
        <v>0</v>
      </c>
      <c r="K41" s="85" t="s">
        <v>56</v>
      </c>
      <c r="L41" s="85" t="s">
        <v>56</v>
      </c>
      <c r="M41" s="85" t="s">
        <v>56</v>
      </c>
      <c r="N41" s="85">
        <f>IFERROR('דוח הכנה chrome'!AC34,"")</f>
        <v>0</v>
      </c>
      <c r="O41" s="86" t="s">
        <v>56</v>
      </c>
    </row>
    <row r="42" spans="1:15" ht="51" x14ac:dyDescent="0.3">
      <c r="A42" s="69" t="str">
        <f t="shared" ca="1" si="0"/>
        <v/>
      </c>
      <c r="B42" s="74">
        <f ca="1">'דוח הכנה chrome'!T35</f>
        <v>44771</v>
      </c>
      <c r="C42" s="69" t="str">
        <f>IF('דוח הכנה chrome'!C35="","",'דוח הכנה chrome'!C35)</f>
        <v>ראשון</v>
      </c>
      <c r="D42" s="69">
        <f t="shared" si="1"/>
        <v>1</v>
      </c>
      <c r="E42" s="69" t="str">
        <f ca="1">IFERROR(IF(VLOOKUP(B42,'דוח הכנה chrome'!T35:AB79,9,0)="ארוחת צהרים",10,""),"")</f>
        <v/>
      </c>
      <c r="F42" s="69">
        <f>IFERROR('דוח הכנה chrome'!F35,"")</f>
        <v>0</v>
      </c>
      <c r="G42" s="69">
        <f>IFERROR('דוח הכנה chrome'!G35,"")</f>
        <v>0</v>
      </c>
      <c r="H42" s="69" t="s">
        <v>56</v>
      </c>
      <c r="I42" s="69" t="s">
        <v>56</v>
      </c>
      <c r="J42" s="84">
        <f>IFERROR('דוח הכנה chrome'!AC35,"")</f>
        <v>0</v>
      </c>
      <c r="K42" s="85" t="s">
        <v>56</v>
      </c>
      <c r="L42" s="85" t="s">
        <v>56</v>
      </c>
      <c r="M42" s="85" t="s">
        <v>56</v>
      </c>
      <c r="N42" s="85">
        <f>IFERROR('דוח הכנה chrome'!AC35,"")</f>
        <v>0</v>
      </c>
      <c r="O42" s="86" t="s">
        <v>56</v>
      </c>
    </row>
    <row r="43" spans="1:15" ht="25.5" x14ac:dyDescent="0.3">
      <c r="A43" s="69" t="str">
        <f t="shared" ca="1" si="0"/>
        <v/>
      </c>
      <c r="B43" s="74">
        <f ca="1">'דוח הכנה chrome'!T36</f>
        <v>44772</v>
      </c>
      <c r="C43" s="69" t="str">
        <f>IF('דוח הכנה chrome'!C36="","",'דוח הכנה chrome'!C36)</f>
        <v>שני</v>
      </c>
      <c r="D43" s="69">
        <f t="shared" si="1"/>
        <v>1</v>
      </c>
      <c r="E43" s="69" t="str">
        <f ca="1">IFERROR(IF(VLOOKUP(B43,'דוח הכנה chrome'!T36:AB80,9,0)="ארוחת צהרים",10,""),"")</f>
        <v/>
      </c>
      <c r="F43" s="69">
        <f>IFERROR('דוח הכנה chrome'!F36,"")</f>
        <v>0</v>
      </c>
      <c r="G43" s="69">
        <f>IFERROR('דוח הכנה chrome'!G36,"")</f>
        <v>0</v>
      </c>
      <c r="H43" s="69" t="s">
        <v>56</v>
      </c>
      <c r="I43" s="69" t="s">
        <v>56</v>
      </c>
      <c r="J43" s="84">
        <f>IFERROR('דוח הכנה chrome'!AC36,"")</f>
        <v>0</v>
      </c>
      <c r="K43" s="85" t="s">
        <v>56</v>
      </c>
      <c r="L43" s="85" t="s">
        <v>56</v>
      </c>
      <c r="M43" s="85" t="s">
        <v>56</v>
      </c>
      <c r="N43" s="85">
        <f>IFERROR('דוח הכנה chrome'!AC36,"")</f>
        <v>0</v>
      </c>
      <c r="O43" s="86" t="s">
        <v>56</v>
      </c>
    </row>
    <row r="44" spans="1:15" ht="51" x14ac:dyDescent="0.3">
      <c r="A44" s="69" t="str">
        <f t="shared" ca="1" si="0"/>
        <v/>
      </c>
      <c r="B44" s="74">
        <f ca="1">'דוח הכנה chrome'!T37</f>
        <v>44773</v>
      </c>
      <c r="C44" s="69" t="str">
        <f>IF('דוח הכנה chrome'!C37="","",'דוח הכנה chrome'!C37)</f>
        <v>שלישי</v>
      </c>
      <c r="D44" s="69">
        <f t="shared" si="1"/>
        <v>1</v>
      </c>
      <c r="E44" s="69" t="str">
        <f ca="1">IFERROR(IF(VLOOKUP(B44,'דוח הכנה chrome'!T37:AB81,9,0)="ארוחת צהרים",10,""),"")</f>
        <v/>
      </c>
      <c r="F44" s="69">
        <f>IFERROR('דוח הכנה chrome'!F37,"")</f>
        <v>0</v>
      </c>
      <c r="G44" s="69">
        <f>IFERROR('דוח הכנה chrome'!G37,"")</f>
        <v>0</v>
      </c>
      <c r="H44" s="62" t="s">
        <v>56</v>
      </c>
      <c r="I44" s="62" t="s">
        <v>56</v>
      </c>
      <c r="J44" s="84">
        <f>IFERROR('דוח הכנה chrome'!AC37,"")</f>
        <v>0</v>
      </c>
      <c r="K44" s="87" t="s">
        <v>56</v>
      </c>
      <c r="L44" s="87" t="s">
        <v>56</v>
      </c>
      <c r="M44" s="87" t="s">
        <v>56</v>
      </c>
      <c r="N44" s="85">
        <f>IFERROR('דוח הכנה chrome'!AC37,"")</f>
        <v>0</v>
      </c>
      <c r="O44" s="89" t="s">
        <v>56</v>
      </c>
    </row>
    <row r="45" spans="1:15" ht="25.5" x14ac:dyDescent="0.3">
      <c r="A45" s="69" t="str">
        <f t="shared" ca="1" si="0"/>
        <v>ס.שבועי</v>
      </c>
      <c r="B45" s="74">
        <f ca="1">'דוח הכנה chrome'!T38</f>
        <v>44773</v>
      </c>
      <c r="C45" s="69" t="str">
        <f>IF('דוח הכנה chrome'!C38="","",'דוח הכנה chrome'!C38)</f>
        <v/>
      </c>
      <c r="D45" s="69">
        <f t="shared" si="1"/>
        <v>1</v>
      </c>
      <c r="E45" s="69" t="str">
        <f ca="1">IFERROR(IF(VLOOKUP(B45,'דוח הכנה chrome'!T38:AB82,9,0)="ארוחת צהרים",10,""),"")</f>
        <v/>
      </c>
      <c r="F45" s="69">
        <f>IFERROR('דוח הכנה chrome'!F38,"")</f>
        <v>0</v>
      </c>
      <c r="G45" s="69">
        <f>IFERROR('דוח הכנה chrome'!G38,"")</f>
        <v>0</v>
      </c>
      <c r="H45" s="63" t="s">
        <v>56</v>
      </c>
      <c r="I45" s="63" t="s">
        <v>56</v>
      </c>
      <c r="J45" s="84">
        <f>IFERROR('דוח הכנה chrome'!AC38,"")</f>
        <v>0</v>
      </c>
      <c r="K45" s="90" t="s">
        <v>56</v>
      </c>
      <c r="L45" s="90" t="s">
        <v>56</v>
      </c>
      <c r="M45" s="90" t="s">
        <v>56</v>
      </c>
      <c r="N45" s="85">
        <f>IFERROR('דוח הכנה chrome'!AC38,"")</f>
        <v>0</v>
      </c>
      <c r="O45" s="91" t="s">
        <v>56</v>
      </c>
    </row>
    <row r="46" spans="1:15" ht="25.5" x14ac:dyDescent="0.3">
      <c r="A46" s="69" t="str">
        <f t="shared" ca="1" si="0"/>
        <v>ס.שבועי</v>
      </c>
      <c r="B46" s="74">
        <f ca="1">'דוח הכנה chrome'!T39</f>
        <v>44773</v>
      </c>
      <c r="C46" s="69" t="str">
        <f>IF('דוח הכנה chrome'!C39="","",'דוח הכנה chrome'!C39)</f>
        <v/>
      </c>
      <c r="D46" s="69">
        <f t="shared" si="1"/>
        <v>1</v>
      </c>
      <c r="E46" s="69" t="str">
        <f ca="1">IFERROR(IF(VLOOKUP(B46,'דוח הכנה chrome'!T39:AB83,9,0)="ארוחת צהרים",10,""),"")</f>
        <v/>
      </c>
      <c r="F46" s="69">
        <f>IFERROR('דוח הכנה chrome'!F39,"")</f>
        <v>0</v>
      </c>
      <c r="G46" s="69">
        <f>IFERROR('דוח הכנה chrome'!G39,"")</f>
        <v>0</v>
      </c>
      <c r="H46" s="63" t="s">
        <v>56</v>
      </c>
      <c r="I46" s="63" t="s">
        <v>56</v>
      </c>
      <c r="J46" s="84" t="str">
        <f>IFERROR('דוח הכנה chrome'!AC39,"")</f>
        <v>37.44</v>
      </c>
      <c r="K46" s="90" t="s">
        <v>56</v>
      </c>
      <c r="L46" s="90" t="s">
        <v>56</v>
      </c>
      <c r="M46" s="90" t="s">
        <v>56</v>
      </c>
      <c r="N46" s="85" t="str">
        <f>IFERROR('דוח הכנה chrome'!AC39,"")</f>
        <v>37.44</v>
      </c>
      <c r="O46" s="91" t="s">
        <v>56</v>
      </c>
    </row>
    <row r="47" spans="1:15" ht="25.5" x14ac:dyDescent="0.3">
      <c r="A47" s="69" t="e">
        <f t="shared" ca="1" si="0"/>
        <v>#REF!</v>
      </c>
      <c r="B47" s="74" t="e">
        <f>'דוח הכנה chrome'!#REF!</f>
        <v>#REF!</v>
      </c>
      <c r="C47" s="69" t="e">
        <f>IF('דוח הכנה chrome'!#REF!="","",'דוח הכנה chrome'!#REF!)</f>
        <v>#REF!</v>
      </c>
      <c r="D47" s="69">
        <f t="shared" si="1"/>
        <v>2</v>
      </c>
      <c r="E47" s="69" t="str">
        <f>IFERROR(IF(VLOOKUP(B47,'דוח הכנה chrome'!T40:AB84,9,0)="ארוחת צהרים",10,""),"")</f>
        <v/>
      </c>
      <c r="F47" s="69" t="str">
        <f>IFERROR('דוח הכנה chrome'!#REF!,"")</f>
        <v/>
      </c>
      <c r="G47" s="69" t="str">
        <f>IFERROR('דוח הכנה chrome'!#REF!,"")</f>
        <v/>
      </c>
      <c r="H47" s="63" t="s">
        <v>56</v>
      </c>
      <c r="I47" s="63" t="s">
        <v>56</v>
      </c>
      <c r="J47" s="84" t="str">
        <f>IFERROR('דוח הכנה chrome'!#REF!,"")</f>
        <v/>
      </c>
      <c r="K47" s="90" t="s">
        <v>56</v>
      </c>
      <c r="L47" s="90" t="s">
        <v>56</v>
      </c>
      <c r="M47" s="90" t="s">
        <v>56</v>
      </c>
      <c r="N47" s="85" t="str">
        <f>IFERROR('דוח הכנה chrome'!#REF!,"")</f>
        <v/>
      </c>
      <c r="O47" s="91" t="s">
        <v>56</v>
      </c>
    </row>
    <row r="48" spans="1:15" ht="25.5" x14ac:dyDescent="0.3">
      <c r="A48" s="69"/>
      <c r="B48" s="74"/>
      <c r="C48" s="63"/>
      <c r="D48" s="63"/>
      <c r="E48" s="69"/>
      <c r="F48" s="69"/>
      <c r="G48" s="69"/>
      <c r="H48" s="63"/>
      <c r="I48" s="63"/>
      <c r="J48" s="84"/>
      <c r="K48" s="90"/>
      <c r="L48" s="90"/>
      <c r="M48" s="90"/>
      <c r="N48" s="85"/>
      <c r="O48" s="96"/>
    </row>
    <row r="49" spans="1:15" ht="25.5" x14ac:dyDescent="0.3">
      <c r="A49" s="69"/>
      <c r="B49" s="74"/>
      <c r="C49" s="63"/>
      <c r="D49" s="63"/>
      <c r="E49" s="69"/>
      <c r="F49" s="69"/>
      <c r="G49" s="69"/>
      <c r="H49" s="63"/>
      <c r="I49" s="63"/>
      <c r="J49" s="84"/>
      <c r="K49" s="90"/>
      <c r="L49" s="90"/>
      <c r="M49" s="90"/>
      <c r="N49" s="85"/>
      <c r="O49" s="96"/>
    </row>
    <row r="50" spans="1:15" ht="25.5" x14ac:dyDescent="0.3">
      <c r="A50" s="69"/>
      <c r="B50" s="74"/>
      <c r="C50" s="63"/>
      <c r="D50" s="63"/>
      <c r="E50" s="69"/>
      <c r="F50" s="69"/>
      <c r="G50" s="69"/>
      <c r="H50" s="63"/>
      <c r="I50" s="63"/>
      <c r="J50" s="84"/>
      <c r="K50" s="90"/>
      <c r="L50" s="90"/>
      <c r="M50" s="90"/>
      <c r="N50" s="85"/>
      <c r="O50" s="96"/>
    </row>
    <row r="51" spans="1:15" ht="25.5" x14ac:dyDescent="0.3">
      <c r="A51" s="69"/>
      <c r="B51" s="74"/>
      <c r="C51" s="63"/>
      <c r="D51" s="63"/>
      <c r="E51" s="69"/>
      <c r="F51" s="69"/>
      <c r="G51" s="69"/>
      <c r="H51" s="63"/>
      <c r="I51" s="63"/>
      <c r="J51" s="84"/>
      <c r="K51" s="90"/>
      <c r="L51" s="90"/>
      <c r="M51" s="90"/>
      <c r="N51" s="85"/>
      <c r="O51" s="96"/>
    </row>
    <row r="52" spans="1:15" ht="25.5" x14ac:dyDescent="0.3">
      <c r="A52" s="69"/>
      <c r="B52" s="74"/>
      <c r="C52" s="63"/>
      <c r="D52" s="63"/>
      <c r="E52" s="69"/>
      <c r="F52" s="69"/>
      <c r="G52" s="69"/>
      <c r="H52" s="63"/>
      <c r="I52" s="63"/>
      <c r="J52" s="84"/>
      <c r="K52" s="90"/>
      <c r="L52" s="90"/>
      <c r="M52" s="90"/>
      <c r="N52" s="85"/>
      <c r="O52" s="96"/>
    </row>
    <row r="53" spans="1:15" ht="25.5" x14ac:dyDescent="0.3">
      <c r="A53" s="69"/>
      <c r="B53" s="74"/>
      <c r="C53" s="63"/>
      <c r="D53" s="63"/>
      <c r="E53" s="69"/>
      <c r="F53" s="69"/>
      <c r="G53" s="69"/>
      <c r="H53" s="63"/>
      <c r="I53" s="63"/>
      <c r="J53" s="84"/>
      <c r="K53" s="90"/>
      <c r="L53" s="90"/>
      <c r="M53" s="90"/>
      <c r="N53" s="85"/>
      <c r="O53" s="96"/>
    </row>
    <row r="54" spans="1:15" ht="25.5" x14ac:dyDescent="0.3">
      <c r="A54" s="69"/>
      <c r="B54" s="74"/>
      <c r="C54" s="63"/>
      <c r="D54" s="63"/>
      <c r="E54" s="69"/>
      <c r="F54" s="69"/>
      <c r="G54" s="69"/>
      <c r="H54" s="63"/>
      <c r="I54" s="63"/>
      <c r="J54" s="84"/>
      <c r="K54" s="90"/>
      <c r="L54" s="90"/>
      <c r="M54" s="90"/>
      <c r="N54" s="85"/>
      <c r="O54" s="96"/>
    </row>
    <row r="55" spans="1:15" ht="25.5" x14ac:dyDescent="0.3">
      <c r="A55" s="69"/>
      <c r="B55" s="74"/>
      <c r="C55" s="63"/>
      <c r="D55" s="63"/>
      <c r="E55" s="69"/>
      <c r="F55" s="69"/>
      <c r="G55" s="69"/>
      <c r="H55" s="63"/>
      <c r="I55" s="63"/>
      <c r="J55" s="84"/>
      <c r="K55" s="90"/>
      <c r="L55" s="90"/>
      <c r="M55" s="90"/>
      <c r="N55" s="85"/>
      <c r="O55" s="96"/>
    </row>
    <row r="56" spans="1:15" ht="25.5" x14ac:dyDescent="0.3">
      <c r="A56" s="69"/>
      <c r="B56" s="74"/>
      <c r="C56" s="63"/>
      <c r="D56" s="63"/>
      <c r="E56" s="69"/>
      <c r="F56" s="69"/>
      <c r="G56" s="69"/>
      <c r="H56" s="63"/>
      <c r="I56" s="63"/>
      <c r="J56" s="84"/>
      <c r="K56" s="90"/>
      <c r="L56" s="90"/>
      <c r="M56" s="90"/>
      <c r="N56" s="85"/>
      <c r="O56" s="96"/>
    </row>
    <row r="57" spans="1:15" ht="25.5" x14ac:dyDescent="0.3">
      <c r="A57" s="69"/>
      <c r="B57" s="74"/>
      <c r="C57" s="63"/>
      <c r="D57" s="63"/>
      <c r="E57" s="69"/>
      <c r="F57" s="69"/>
      <c r="G57" s="69"/>
      <c r="H57" s="63"/>
      <c r="I57" s="63"/>
      <c r="J57" s="84"/>
      <c r="K57" s="90"/>
      <c r="L57" s="90"/>
      <c r="M57" s="90"/>
      <c r="N57" s="85"/>
      <c r="O57" s="96"/>
    </row>
    <row r="58" spans="1:15" ht="60" customHeight="1" x14ac:dyDescent="0.4">
      <c r="A58" s="70"/>
      <c r="B58" s="70"/>
      <c r="C58" s="70"/>
      <c r="D58" s="70"/>
      <c r="E58" s="140" t="s">
        <v>59</v>
      </c>
      <c r="F58" s="140"/>
      <c r="G58" s="140"/>
      <c r="H58" s="93">
        <v>0</v>
      </c>
      <c r="I58" s="94" t="s">
        <v>58</v>
      </c>
      <c r="J58" s="94">
        <v>0</v>
      </c>
      <c r="K58" s="70"/>
      <c r="L58" s="71"/>
      <c r="M58" s="140" t="s">
        <v>57</v>
      </c>
      <c r="N58" s="140"/>
      <c r="O58" s="95">
        <f>SUM(N9:N44)</f>
        <v>0</v>
      </c>
    </row>
    <row r="59" spans="1:15" ht="30" customHeight="1" x14ac:dyDescent="0.4">
      <c r="A59" s="70"/>
      <c r="B59" s="70"/>
      <c r="C59" s="70"/>
      <c r="D59" s="70"/>
      <c r="F59" s="70"/>
      <c r="G59" s="70"/>
      <c r="H59" s="70"/>
      <c r="I59" s="70"/>
      <c r="J59" s="70"/>
      <c r="K59" s="70"/>
      <c r="L59" s="71"/>
      <c r="N59" s="71"/>
      <c r="O59" s="71"/>
    </row>
    <row r="60" spans="1:15" ht="52.5" customHeight="1" x14ac:dyDescent="0.4">
      <c r="A60" s="70"/>
      <c r="B60" s="70"/>
      <c r="C60" s="70"/>
      <c r="D60" s="70"/>
      <c r="E60" s="65"/>
      <c r="F60" s="65"/>
      <c r="G60" s="65"/>
      <c r="H60" s="65"/>
      <c r="I60" s="65"/>
      <c r="J60" s="65"/>
      <c r="K60" s="65"/>
      <c r="L60" s="65"/>
      <c r="N60" s="71"/>
      <c r="O60" s="71"/>
    </row>
    <row r="61" spans="1:15" ht="26.25" x14ac:dyDescent="0.4">
      <c r="A61" s="70"/>
      <c r="B61" s="70"/>
      <c r="C61" s="70"/>
      <c r="D61" s="70"/>
      <c r="E61" s="65"/>
      <c r="F61" s="65"/>
      <c r="G61" s="65"/>
      <c r="H61" s="65"/>
      <c r="I61" s="65"/>
      <c r="J61" s="65"/>
      <c r="K61" s="65"/>
      <c r="L61" s="65"/>
      <c r="M61" s="71"/>
      <c r="N61" s="71"/>
      <c r="O61" s="71"/>
    </row>
    <row r="62" spans="1:15" ht="26.25" x14ac:dyDescent="0.4">
      <c r="A62" s="70"/>
      <c r="B62" s="70"/>
      <c r="C62" s="70"/>
      <c r="D62" s="70"/>
      <c r="E62" s="65"/>
      <c r="F62" s="65"/>
      <c r="G62" s="65"/>
      <c r="H62" s="65"/>
      <c r="I62" s="65"/>
      <c r="J62" s="65"/>
      <c r="K62" s="65"/>
      <c r="L62" s="65"/>
      <c r="M62" s="71"/>
      <c r="N62" s="71"/>
      <c r="O62" s="71"/>
    </row>
    <row r="63" spans="1:15" ht="12.75" customHeight="1" x14ac:dyDescent="0.4">
      <c r="A63" s="70"/>
      <c r="B63" s="70"/>
      <c r="C63" s="70"/>
      <c r="D63" s="70"/>
      <c r="F63" s="71"/>
      <c r="G63" s="71"/>
      <c r="H63" s="71"/>
      <c r="I63" s="71"/>
      <c r="J63" s="71"/>
      <c r="K63" s="71"/>
      <c r="L63" s="71"/>
      <c r="M63" s="71"/>
      <c r="N63" s="71"/>
      <c r="O63" s="71"/>
    </row>
    <row r="64" spans="1:15" ht="47.25" customHeight="1" x14ac:dyDescent="0.4">
      <c r="A64" s="70"/>
      <c r="B64" s="70"/>
      <c r="C64" s="144" t="s">
        <v>65</v>
      </c>
      <c r="D64" s="144"/>
      <c r="E64" s="144"/>
      <c r="G64" s="71"/>
      <c r="H64" s="71"/>
      <c r="I64" s="92" t="s">
        <v>60</v>
      </c>
      <c r="J64" s="72"/>
      <c r="K64" s="72"/>
      <c r="L64" s="72"/>
      <c r="M64" s="72"/>
      <c r="N64" s="72"/>
      <c r="O64" s="72"/>
    </row>
    <row r="65" spans="1:15" ht="12.75" customHeight="1" x14ac:dyDescent="0.4">
      <c r="A65" s="70"/>
      <c r="B65" s="70"/>
      <c r="C65" s="70"/>
      <c r="D65" s="70"/>
      <c r="E65" s="65"/>
      <c r="F65" s="71"/>
      <c r="G65" s="71"/>
      <c r="H65" s="71"/>
      <c r="I65" s="66"/>
      <c r="J65" s="71"/>
      <c r="K65" s="71"/>
      <c r="L65" s="71"/>
      <c r="M65" s="71"/>
      <c r="N65" s="71"/>
      <c r="O65" s="71"/>
    </row>
    <row r="66" spans="1:15" ht="12.75" customHeight="1" x14ac:dyDescent="0.4">
      <c r="A66" s="70"/>
      <c r="B66" s="70"/>
      <c r="C66" s="70"/>
      <c r="D66" s="70"/>
      <c r="E66" s="65"/>
      <c r="F66" s="71"/>
      <c r="G66" s="71"/>
      <c r="H66" s="71"/>
      <c r="I66" s="66"/>
      <c r="J66" s="71"/>
      <c r="K66" s="71"/>
      <c r="L66" s="71"/>
      <c r="M66" s="71"/>
      <c r="N66" s="71"/>
      <c r="O66" s="71"/>
    </row>
    <row r="67" spans="1:15" ht="12.75" customHeight="1" x14ac:dyDescent="0.4">
      <c r="A67" s="70"/>
      <c r="B67" s="70"/>
      <c r="C67" s="70"/>
      <c r="D67" s="70"/>
      <c r="E67" s="71"/>
      <c r="F67" s="71"/>
      <c r="G67" s="71"/>
      <c r="H67" s="71"/>
      <c r="I67" s="71"/>
      <c r="J67" s="71"/>
      <c r="K67" s="71"/>
      <c r="L67" s="71"/>
      <c r="M67" s="70"/>
      <c r="N67" s="70"/>
      <c r="O67" s="70"/>
    </row>
    <row r="68" spans="1:15" ht="12.75" customHeight="1" x14ac:dyDescent="0.4">
      <c r="A68" s="70"/>
      <c r="B68" s="70"/>
      <c r="C68" s="70"/>
      <c r="D68" s="70"/>
      <c r="E68" s="71"/>
      <c r="F68" s="71"/>
      <c r="G68" s="71"/>
      <c r="H68" s="71"/>
      <c r="I68" s="145" t="s">
        <v>61</v>
      </c>
      <c r="J68" s="71"/>
      <c r="K68" s="71"/>
      <c r="L68" s="71"/>
      <c r="M68" s="70"/>
      <c r="N68" s="70"/>
      <c r="O68" s="70"/>
    </row>
    <row r="69" spans="1:15" ht="26.25" x14ac:dyDescent="0.4">
      <c r="A69" s="70"/>
      <c r="B69" s="70"/>
      <c r="C69" s="70"/>
      <c r="D69" s="70"/>
      <c r="E69" s="71"/>
      <c r="F69" s="71"/>
      <c r="G69" s="71"/>
      <c r="H69" s="71"/>
      <c r="I69" s="145"/>
      <c r="J69" s="72"/>
      <c r="K69" s="72"/>
      <c r="L69" s="72"/>
      <c r="M69" s="72"/>
      <c r="N69" s="72"/>
      <c r="O69" s="72"/>
    </row>
    <row r="70" spans="1:15" ht="26.25" x14ac:dyDescent="0.4">
      <c r="A70" s="70"/>
      <c r="B70" s="70"/>
      <c r="C70" s="70"/>
      <c r="D70" s="70"/>
      <c r="E70" s="71"/>
      <c r="F70" s="71"/>
      <c r="G70" s="71"/>
      <c r="H70" s="71"/>
      <c r="I70" s="66"/>
      <c r="J70" s="71"/>
      <c r="K70" s="71"/>
      <c r="L70" s="71"/>
      <c r="M70" s="71"/>
      <c r="N70" s="71"/>
      <c r="O70" s="71"/>
    </row>
    <row r="71" spans="1:15" ht="26.25" x14ac:dyDescent="0.4">
      <c r="A71" s="70"/>
      <c r="B71" s="70"/>
      <c r="C71" s="70"/>
      <c r="D71" s="70"/>
      <c r="E71" s="71"/>
      <c r="F71" s="71"/>
      <c r="G71" s="71"/>
      <c r="H71" s="71"/>
      <c r="I71" s="66"/>
      <c r="J71" s="71"/>
      <c r="K71" s="71"/>
      <c r="L71" s="71"/>
      <c r="M71" s="71"/>
      <c r="N71" s="71"/>
      <c r="O71" s="71"/>
    </row>
    <row r="72" spans="1:15" ht="26.25" x14ac:dyDescent="0.4">
      <c r="A72" s="70"/>
      <c r="B72" s="70"/>
      <c r="C72" s="70"/>
      <c r="D72" s="70"/>
      <c r="E72" s="70"/>
      <c r="F72" s="70"/>
      <c r="G72" s="70"/>
      <c r="H72" s="70"/>
      <c r="I72" s="70"/>
      <c r="J72" s="70"/>
      <c r="K72" s="70"/>
      <c r="L72" s="70"/>
      <c r="M72" s="70"/>
      <c r="N72" s="70"/>
      <c r="O72" s="70"/>
    </row>
    <row r="73" spans="1:15" ht="25.5" x14ac:dyDescent="0.3">
      <c r="A73" s="67" t="s">
        <v>29</v>
      </c>
      <c r="B73" s="68" t="s">
        <v>56</v>
      </c>
      <c r="C73" s="67" t="s">
        <v>36</v>
      </c>
      <c r="D73" s="141" t="s">
        <v>62</v>
      </c>
      <c r="E73" s="142"/>
      <c r="F73" s="142"/>
      <c r="G73" s="142"/>
      <c r="H73" s="142"/>
      <c r="I73" s="142"/>
      <c r="J73" s="142"/>
      <c r="K73" s="142"/>
      <c r="L73" s="142"/>
      <c r="M73" s="142"/>
      <c r="N73" s="142"/>
      <c r="O73" s="142"/>
    </row>
    <row r="74" spans="1:15" ht="25.5" x14ac:dyDescent="0.35">
      <c r="A74" s="64"/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</row>
    <row r="75" spans="1:15" ht="25.5" x14ac:dyDescent="0.35">
      <c r="A75" s="64"/>
      <c r="B75" s="64"/>
      <c r="C75" s="64"/>
      <c r="D75" s="64"/>
      <c r="E75" s="64"/>
      <c r="F75" s="64"/>
      <c r="G75" s="64"/>
      <c r="H75" s="64"/>
      <c r="I75" s="64"/>
      <c r="J75" s="64"/>
      <c r="K75" s="64"/>
      <c r="L75" s="64"/>
      <c r="M75" s="64"/>
      <c r="N75" s="64"/>
      <c r="O75" s="64"/>
    </row>
    <row r="76" spans="1:15" ht="25.5" x14ac:dyDescent="0.35">
      <c r="A76" s="64"/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  <c r="N76" s="64"/>
      <c r="O76" s="64"/>
    </row>
    <row r="77" spans="1:15" ht="25.5" x14ac:dyDescent="0.35">
      <c r="A77" s="64"/>
      <c r="B77" s="64"/>
      <c r="C77" s="64"/>
      <c r="D77" s="64"/>
      <c r="E77" s="64"/>
      <c r="F77" s="64"/>
      <c r="G77" s="64"/>
      <c r="H77" s="64"/>
      <c r="I77" s="64"/>
      <c r="J77" s="64"/>
      <c r="K77" s="64"/>
      <c r="L77" s="64"/>
      <c r="M77" s="64"/>
      <c r="N77" s="64"/>
      <c r="O77" s="64"/>
    </row>
  </sheetData>
  <mergeCells count="10">
    <mergeCell ref="K1:L1"/>
    <mergeCell ref="C1:I1"/>
    <mergeCell ref="M58:N58"/>
    <mergeCell ref="D73:O73"/>
    <mergeCell ref="I2:K2"/>
    <mergeCell ref="L2:N2"/>
    <mergeCell ref="C2:F2"/>
    <mergeCell ref="C64:E64"/>
    <mergeCell ref="I68:I69"/>
    <mergeCell ref="E58:G58"/>
  </mergeCells>
  <conditionalFormatting sqref="L14">
    <cfRule type="duplicateValues" dxfId="0" priority="1"/>
  </conditionalFormatting>
  <pageMargins left="0.25" right="0.25" top="0.75" bottom="0.75" header="0.3" footer="0.3"/>
  <pageSetup paperSize="9" scale="2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גיליון2"/>
  <dimension ref="A1:T44"/>
  <sheetViews>
    <sheetView rightToLeft="1" topLeftCell="D1" workbookViewId="0">
      <selection activeCell="I20" sqref="I20"/>
    </sheetView>
  </sheetViews>
  <sheetFormatPr defaultColWidth="9.140625" defaultRowHeight="12.75" x14ac:dyDescent="0.2"/>
  <cols>
    <col min="1" max="3" width="9.140625" style="1" hidden="1" customWidth="1"/>
    <col min="4" max="4" width="2.85546875" style="1" customWidth="1"/>
    <col min="5" max="5" width="12.28515625" style="1" customWidth="1"/>
    <col min="6" max="6" width="14.5703125" style="1" bestFit="1" customWidth="1"/>
    <col min="7" max="7" width="16" style="1" bestFit="1" customWidth="1"/>
    <col min="8" max="8" width="14.140625" style="1" bestFit="1" customWidth="1"/>
    <col min="9" max="9" width="16.28515625" style="1" bestFit="1" customWidth="1"/>
    <col min="10" max="10" width="10.7109375" style="1" customWidth="1"/>
    <col min="11" max="11" width="14.140625" style="1" bestFit="1" customWidth="1"/>
    <col min="12" max="12" width="12.85546875" style="1" bestFit="1" customWidth="1"/>
    <col min="13" max="13" width="11.140625" style="1" bestFit="1" customWidth="1"/>
    <col min="14" max="14" width="15.140625" style="1" customWidth="1"/>
    <col min="15" max="15" width="2.28515625" style="1" hidden="1" customWidth="1"/>
    <col min="16" max="16" width="2.42578125" style="1" hidden="1" customWidth="1"/>
    <col min="17" max="17" width="8.28515625" style="1" hidden="1" customWidth="1"/>
    <col min="18" max="18" width="2.5703125" style="1" hidden="1" customWidth="1"/>
    <col min="19" max="19" width="1.42578125" style="1" customWidth="1"/>
    <col min="20" max="16384" width="9.140625" style="1"/>
  </cols>
  <sheetData>
    <row r="1" spans="2:18" ht="15.95" customHeight="1" x14ac:dyDescent="0.2"/>
    <row r="2" spans="2:18" ht="15.95" customHeight="1" x14ac:dyDescent="0.2"/>
    <row r="3" spans="2:18" s="2" customFormat="1" ht="21.95" customHeight="1" x14ac:dyDescent="0.2">
      <c r="E3" s="3" t="s">
        <v>0</v>
      </c>
      <c r="F3" s="4">
        <v>2021</v>
      </c>
      <c r="H3" s="3" t="s">
        <v>1</v>
      </c>
      <c r="I3" s="150"/>
      <c r="J3" s="151"/>
      <c r="K3" s="152"/>
    </row>
    <row r="4" spans="2:18" s="2" customFormat="1" ht="21.95" customHeight="1" x14ac:dyDescent="0.2">
      <c r="E4" s="3" t="s">
        <v>2</v>
      </c>
      <c r="F4" s="4">
        <v>1</v>
      </c>
      <c r="H4" s="3" t="s">
        <v>3</v>
      </c>
      <c r="I4" s="150"/>
      <c r="J4" s="151"/>
      <c r="K4" s="152"/>
    </row>
    <row r="5" spans="2:18" s="2" customFormat="1" ht="21.95" customHeight="1" x14ac:dyDescent="0.2">
      <c r="E5" s="5" t="s">
        <v>4</v>
      </c>
      <c r="F5" s="4"/>
      <c r="H5" s="6"/>
      <c r="I5" s="7"/>
      <c r="J5" s="7"/>
      <c r="K5" s="7"/>
    </row>
    <row r="6" spans="2:18" ht="18" customHeight="1" x14ac:dyDescent="0.2"/>
    <row r="7" spans="2:18" ht="18" customHeight="1" x14ac:dyDescent="0.2">
      <c r="G7" s="153" t="s">
        <v>5</v>
      </c>
      <c r="H7" s="153"/>
      <c r="I7" s="153"/>
      <c r="J7" s="153" t="s">
        <v>6</v>
      </c>
      <c r="K7" s="153"/>
      <c r="L7" s="153"/>
    </row>
    <row r="8" spans="2:18" ht="23.25" x14ac:dyDescent="0.2">
      <c r="E8" s="8" t="s">
        <v>7</v>
      </c>
      <c r="F8" s="8" t="s">
        <v>8</v>
      </c>
      <c r="G8" s="8" t="s">
        <v>9</v>
      </c>
      <c r="H8" s="8" t="s">
        <v>10</v>
      </c>
      <c r="I8" s="8" t="s">
        <v>11</v>
      </c>
      <c r="J8" s="8" t="s">
        <v>9</v>
      </c>
      <c r="K8" s="8" t="s">
        <v>10</v>
      </c>
      <c r="L8" s="8" t="s">
        <v>11</v>
      </c>
      <c r="M8" s="8" t="s">
        <v>12</v>
      </c>
      <c r="N8" s="8" t="s">
        <v>13</v>
      </c>
      <c r="Q8" s="9" t="s">
        <v>8</v>
      </c>
      <c r="R8" s="10"/>
    </row>
    <row r="9" spans="2:18" ht="18" customHeight="1" x14ac:dyDescent="0.2">
      <c r="B9" s="46">
        <v>1</v>
      </c>
      <c r="E9" s="12">
        <f>DATE($F$3,$F$4,B9)</f>
        <v>44197</v>
      </c>
      <c r="F9" s="13" t="str">
        <f>VLOOKUP(MOD(E9,7),$P$9:Q15,2)</f>
        <v>שישי</v>
      </c>
      <c r="G9" s="14"/>
      <c r="H9" s="14"/>
      <c r="I9" s="35">
        <f>IFERROR(24*(H9-G9),0)</f>
        <v>0</v>
      </c>
      <c r="J9" s="14" t="str">
        <f ca="1">IFERROR(VLOOKUP(E9,'דוח ביצוע'!$B$3:$G$36,6,0),"")</f>
        <v/>
      </c>
      <c r="K9" s="14" t="str">
        <f ca="1">IFERROR(VLOOKUP(E9,'דוח ביצוע'!$B$3:$H$36,7,0),"")</f>
        <v/>
      </c>
      <c r="L9" s="53">
        <f ca="1">IFERROR(24*(K9-J9),0)</f>
        <v>0</v>
      </c>
      <c r="M9" s="16"/>
      <c r="N9" s="17"/>
      <c r="P9" s="1">
        <v>0</v>
      </c>
      <c r="Q9" s="1" t="s">
        <v>14</v>
      </c>
      <c r="R9" s="18" t="s">
        <v>15</v>
      </c>
    </row>
    <row r="10" spans="2:18" ht="18" customHeight="1" x14ac:dyDescent="0.2">
      <c r="B10" s="46">
        <v>2</v>
      </c>
      <c r="E10" s="12">
        <f t="shared" ref="E10:E39" si="0">DATE($F$3,$F$4,B10)</f>
        <v>44198</v>
      </c>
      <c r="F10" s="13" t="str">
        <f>VLOOKUP(MOD(E10,7),$P$9:Q16,2)</f>
        <v>שבת</v>
      </c>
      <c r="G10" s="14"/>
      <c r="H10" s="14"/>
      <c r="I10" s="35">
        <f t="shared" ref="I10:I39" si="1">IFERROR(24*(H10-G10),0)</f>
        <v>0</v>
      </c>
      <c r="J10" s="14" t="str">
        <f ca="1">IFERROR(VLOOKUP(E10,'דוח ביצוע'!$B$3:$G$36,6,0),"")</f>
        <v/>
      </c>
      <c r="K10" s="14" t="str">
        <f ca="1">IFERROR(VLOOKUP(E10,'דוח ביצוע'!$B$3:$H$36,7,0),"")</f>
        <v/>
      </c>
      <c r="L10" s="53">
        <f t="shared" ref="L10:L39" ca="1" si="2">IFERROR(24*(K10-J10),0)</f>
        <v>0</v>
      </c>
      <c r="M10" s="16"/>
      <c r="N10" s="17"/>
      <c r="P10" s="1">
        <v>1</v>
      </c>
      <c r="Q10" s="1" t="s">
        <v>16</v>
      </c>
    </row>
    <row r="11" spans="2:18" ht="18" customHeight="1" x14ac:dyDescent="0.2">
      <c r="B11" s="46">
        <v>3</v>
      </c>
      <c r="E11" s="12">
        <f t="shared" si="0"/>
        <v>44199</v>
      </c>
      <c r="F11" s="13" t="str">
        <f>VLOOKUP(MOD(E11,7),$P$9:Q17,2)</f>
        <v>ראשון</v>
      </c>
      <c r="G11" s="14">
        <f ca="1">IFERROR(VLOOKUP(E11,'דוח ביצוע'!B:D,3,0),0)</f>
        <v>0</v>
      </c>
      <c r="H11" s="14">
        <f ca="1">IFERROR(VLOOKUP(E11,'דוח ביצוע'!B:E,4,0),0)</f>
        <v>0</v>
      </c>
      <c r="I11" s="35">
        <f t="shared" ca="1" si="1"/>
        <v>0</v>
      </c>
      <c r="J11" s="14" t="str">
        <f ca="1">IFERROR(VLOOKUP(E11,'דוח ביצוע'!$B$3:$G$36,6,0),"")</f>
        <v/>
      </c>
      <c r="K11" s="14" t="str">
        <f ca="1">IFERROR(VLOOKUP(E11,'דוח ביצוע'!$B$3:$H$36,7,0),"")</f>
        <v/>
      </c>
      <c r="L11" s="53">
        <f t="shared" ca="1" si="2"/>
        <v>0</v>
      </c>
      <c r="M11" s="16"/>
      <c r="N11" s="17"/>
      <c r="P11" s="1">
        <v>2</v>
      </c>
      <c r="Q11" s="1" t="s">
        <v>17</v>
      </c>
    </row>
    <row r="12" spans="2:18" ht="18" customHeight="1" x14ac:dyDescent="0.2">
      <c r="B12" s="46">
        <v>4</v>
      </c>
      <c r="E12" s="12">
        <f t="shared" si="0"/>
        <v>44200</v>
      </c>
      <c r="F12" s="13" t="str">
        <f>VLOOKUP(MOD(E12,7),$P$9:Q18,2)</f>
        <v>שני</v>
      </c>
      <c r="G12" s="14">
        <f ca="1">IFERROR(VLOOKUP(E12,'דוח ביצוע'!B:D,3,0),0)</f>
        <v>0</v>
      </c>
      <c r="H12" s="14">
        <f ca="1">IFERROR(VLOOKUP(E12,'דוח ביצוע'!B:E,4,0),0)</f>
        <v>0</v>
      </c>
      <c r="I12" s="35">
        <f t="shared" ca="1" si="1"/>
        <v>0</v>
      </c>
      <c r="J12" s="14" t="str">
        <f ca="1">IFERROR(VLOOKUP(E12,'דוח ביצוע'!$B$3:$G$36,6,0),"")</f>
        <v/>
      </c>
      <c r="K12" s="14" t="str">
        <f ca="1">IFERROR(VLOOKUP(E12,'דוח ביצוע'!$B$3:$H$36,7,0),"")</f>
        <v/>
      </c>
      <c r="L12" s="53">
        <f t="shared" ca="1" si="2"/>
        <v>0</v>
      </c>
      <c r="M12" s="16"/>
      <c r="N12" s="17"/>
      <c r="P12" s="1">
        <v>3</v>
      </c>
      <c r="Q12" s="1" t="s">
        <v>18</v>
      </c>
    </row>
    <row r="13" spans="2:18" ht="18" customHeight="1" x14ac:dyDescent="0.2">
      <c r="B13" s="46">
        <v>5</v>
      </c>
      <c r="E13" s="12">
        <f t="shared" si="0"/>
        <v>44201</v>
      </c>
      <c r="F13" s="13" t="str">
        <f>VLOOKUP(MOD(E13,7),$P$9:Q19,2)</f>
        <v>שלישי</v>
      </c>
      <c r="G13" s="14">
        <f ca="1">IFERROR(VLOOKUP(E13,'דוח ביצוע'!B:D,3,0),0)</f>
        <v>0</v>
      </c>
      <c r="H13" s="14">
        <f ca="1">IFERROR(VLOOKUP(E13,'דוח ביצוע'!B:E,4,0),0)</f>
        <v>0</v>
      </c>
      <c r="I13" s="35">
        <f t="shared" ca="1" si="1"/>
        <v>0</v>
      </c>
      <c r="J13" s="14" t="str">
        <f ca="1">IFERROR(VLOOKUP(E13,'דוח ביצוע'!$B$3:$G$36,6,0),"")</f>
        <v/>
      </c>
      <c r="K13" s="14" t="str">
        <f ca="1">IFERROR(VLOOKUP(E13,'דוח ביצוע'!$B$3:$H$36,7,0),"")</f>
        <v/>
      </c>
      <c r="L13" s="53">
        <f t="shared" ca="1" si="2"/>
        <v>0</v>
      </c>
      <c r="M13" s="16"/>
      <c r="N13" s="17"/>
      <c r="P13" s="1">
        <v>4</v>
      </c>
      <c r="Q13" s="1" t="s">
        <v>19</v>
      </c>
    </row>
    <row r="14" spans="2:18" ht="18" customHeight="1" x14ac:dyDescent="0.2">
      <c r="B14" s="46">
        <v>6</v>
      </c>
      <c r="E14" s="12">
        <f t="shared" si="0"/>
        <v>44202</v>
      </c>
      <c r="F14" s="13" t="str">
        <f>VLOOKUP(MOD(E14,7),$P$9:Q20,2)</f>
        <v>רביעי</v>
      </c>
      <c r="G14" s="14">
        <f ca="1">IFERROR(VLOOKUP(E14,'דוח ביצוע'!B:D,3,0),0)</f>
        <v>0</v>
      </c>
      <c r="H14" s="14">
        <f ca="1">IFERROR(VLOOKUP(E14,'דוח ביצוע'!B:E,4,0),0)</f>
        <v>0</v>
      </c>
      <c r="I14" s="35">
        <f t="shared" ca="1" si="1"/>
        <v>0</v>
      </c>
      <c r="J14" s="14" t="str">
        <f ca="1">IFERROR(VLOOKUP(E14,'דוח ביצוע'!$B$3:$G$36,6,0),"")</f>
        <v/>
      </c>
      <c r="K14" s="14" t="str">
        <f ca="1">IFERROR(VLOOKUP(E14,'דוח ביצוע'!$B$3:$H$36,7,0),"")</f>
        <v/>
      </c>
      <c r="L14" s="53">
        <f t="shared" ca="1" si="2"/>
        <v>0</v>
      </c>
      <c r="M14" s="16"/>
      <c r="N14" s="17"/>
      <c r="P14" s="1">
        <v>5</v>
      </c>
      <c r="Q14" s="1" t="s">
        <v>20</v>
      </c>
    </row>
    <row r="15" spans="2:18" ht="18" customHeight="1" x14ac:dyDescent="0.2">
      <c r="B15" s="46">
        <v>7</v>
      </c>
      <c r="E15" s="12">
        <f t="shared" si="0"/>
        <v>44203</v>
      </c>
      <c r="F15" s="13" t="str">
        <f>VLOOKUP(MOD(E15,7),$P$9:Q21,2)</f>
        <v>חמישי</v>
      </c>
      <c r="G15" s="14">
        <f ca="1">IFERROR(VLOOKUP(E15,'דוח ביצוע'!B:D,3,0),0)</f>
        <v>0</v>
      </c>
      <c r="H15" s="14">
        <f ca="1">IFERROR(VLOOKUP(E15,'דוח ביצוע'!B:E,4,0),0)</f>
        <v>0</v>
      </c>
      <c r="I15" s="35">
        <f t="shared" ca="1" si="1"/>
        <v>0</v>
      </c>
      <c r="J15" s="14" t="str">
        <f ca="1">IFERROR(VLOOKUP(E15,'דוח ביצוע'!$B$3:$G$36,6,0),"")</f>
        <v/>
      </c>
      <c r="K15" s="14" t="str">
        <f ca="1">IFERROR(VLOOKUP(E15,'דוח ביצוע'!$B$3:$H$36,7,0),"")</f>
        <v/>
      </c>
      <c r="L15" s="53">
        <f t="shared" ca="1" si="2"/>
        <v>0</v>
      </c>
      <c r="M15" s="16"/>
      <c r="N15" s="17"/>
      <c r="P15" s="1">
        <v>6</v>
      </c>
      <c r="Q15" s="1" t="s">
        <v>21</v>
      </c>
    </row>
    <row r="16" spans="2:18" ht="18" customHeight="1" x14ac:dyDescent="0.2">
      <c r="B16" s="46">
        <v>8</v>
      </c>
      <c r="E16" s="12">
        <f t="shared" si="0"/>
        <v>44204</v>
      </c>
      <c r="F16" s="13" t="str">
        <f>VLOOKUP(MOD(E16,7),$P$9:Q22,2)</f>
        <v>שישי</v>
      </c>
      <c r="G16" s="14"/>
      <c r="H16" s="14"/>
      <c r="I16" s="35">
        <f t="shared" si="1"/>
        <v>0</v>
      </c>
      <c r="J16" s="14" t="str">
        <f ca="1">IFERROR(VLOOKUP(E16,'דוח ביצוע'!$B$3:$G$36,6,0),"")</f>
        <v/>
      </c>
      <c r="K16" s="14" t="str">
        <f ca="1">IFERROR(VLOOKUP(E16,'דוח ביצוע'!$B$3:$H$36,7,0),"")</f>
        <v/>
      </c>
      <c r="L16" s="53">
        <f t="shared" ca="1" si="2"/>
        <v>0</v>
      </c>
      <c r="M16" s="16"/>
      <c r="N16" s="17"/>
    </row>
    <row r="17" spans="2:14" ht="18" customHeight="1" x14ac:dyDescent="0.2">
      <c r="B17" s="46">
        <v>9</v>
      </c>
      <c r="E17" s="12">
        <f t="shared" si="0"/>
        <v>44205</v>
      </c>
      <c r="F17" s="13" t="str">
        <f>VLOOKUP(MOD(E17,7),$P$9:Q23,2)</f>
        <v>שבת</v>
      </c>
      <c r="G17" s="14"/>
      <c r="H17" s="14"/>
      <c r="I17" s="35">
        <f t="shared" si="1"/>
        <v>0</v>
      </c>
      <c r="J17" s="14" t="str">
        <f ca="1">IFERROR(VLOOKUP(E17,'דוח ביצוע'!$B$3:$G$36,6,0),"")</f>
        <v/>
      </c>
      <c r="K17" s="14" t="str">
        <f ca="1">IFERROR(VLOOKUP(E17,'דוח ביצוע'!$B$3:$H$36,7,0),"")</f>
        <v/>
      </c>
      <c r="L17" s="53">
        <f t="shared" ca="1" si="2"/>
        <v>0</v>
      </c>
      <c r="M17" s="16"/>
      <c r="N17" s="17"/>
    </row>
    <row r="18" spans="2:14" ht="18" customHeight="1" x14ac:dyDescent="0.2">
      <c r="B18" s="46">
        <v>10</v>
      </c>
      <c r="E18" s="12">
        <f t="shared" si="0"/>
        <v>44206</v>
      </c>
      <c r="F18" s="13" t="str">
        <f>VLOOKUP(MOD(E18,7),$P$9:Q24,2)</f>
        <v>ראשון</v>
      </c>
      <c r="G18" s="14">
        <f ca="1">IFERROR(VLOOKUP(E18,'דוח ביצוע'!B:D,3,0),0)</f>
        <v>0</v>
      </c>
      <c r="H18" s="14">
        <f ca="1">IFERROR(VLOOKUP(E18,'דוח ביצוע'!B:E,4,0),0)</f>
        <v>0</v>
      </c>
      <c r="I18" s="35">
        <f t="shared" ca="1" si="1"/>
        <v>0</v>
      </c>
      <c r="J18" s="14" t="str">
        <f ca="1">IFERROR(VLOOKUP(E18,'דוח ביצוע'!$B$3:$G$36,6,0),"")</f>
        <v/>
      </c>
      <c r="K18" s="14" t="str">
        <f ca="1">IFERROR(VLOOKUP(E18,'דוח ביצוע'!$B$3:$H$36,7,0),"")</f>
        <v/>
      </c>
      <c r="L18" s="53">
        <f t="shared" ca="1" si="2"/>
        <v>0</v>
      </c>
      <c r="M18" s="16"/>
      <c r="N18" s="17"/>
    </row>
    <row r="19" spans="2:14" ht="18" customHeight="1" x14ac:dyDescent="0.2">
      <c r="B19" s="46">
        <v>11</v>
      </c>
      <c r="E19" s="12">
        <f t="shared" si="0"/>
        <v>44207</v>
      </c>
      <c r="F19" s="13" t="str">
        <f>VLOOKUP(MOD(E19,7),$P$9:Q25,2)</f>
        <v>שני</v>
      </c>
      <c r="G19" s="14">
        <f ca="1">IFERROR(VLOOKUP(E19,'דוח ביצוע'!B:D,3,0),0)</f>
        <v>0</v>
      </c>
      <c r="H19" s="14">
        <f ca="1">IFERROR(VLOOKUP(E19,'דוח ביצוע'!B:E,4,0),0)</f>
        <v>0</v>
      </c>
      <c r="I19" s="35">
        <f t="shared" ca="1" si="1"/>
        <v>0</v>
      </c>
      <c r="J19" s="14" t="str">
        <f ca="1">IFERROR(VLOOKUP(E19,'דוח ביצוע'!$B$3:$G$36,6,0),"")</f>
        <v/>
      </c>
      <c r="K19" s="14" t="str">
        <f ca="1">IFERROR(VLOOKUP(E19,'דוח ביצוע'!$B$3:$H$36,7,0),"")</f>
        <v/>
      </c>
      <c r="L19" s="53">
        <f t="shared" ca="1" si="2"/>
        <v>0</v>
      </c>
      <c r="M19" s="16"/>
      <c r="N19" s="17"/>
    </row>
    <row r="20" spans="2:14" ht="18" customHeight="1" x14ac:dyDescent="0.2">
      <c r="B20" s="46">
        <v>12</v>
      </c>
      <c r="E20" s="12">
        <f t="shared" si="0"/>
        <v>44208</v>
      </c>
      <c r="F20" s="13" t="str">
        <f>VLOOKUP(MOD(E20,7),$P$9:Q26,2)</f>
        <v>שלישי</v>
      </c>
      <c r="G20" s="14">
        <f ca="1">IFERROR(VLOOKUP(E20,'דוח ביצוע'!B:D,3,0),0)</f>
        <v>0</v>
      </c>
      <c r="H20" s="14">
        <f ca="1">IFERROR(VLOOKUP(E20,'דוח ביצוע'!B:E,4,0),0)</f>
        <v>0</v>
      </c>
      <c r="I20" s="35">
        <f t="shared" ca="1" si="1"/>
        <v>0</v>
      </c>
      <c r="J20" s="14" t="str">
        <f ca="1">IFERROR(VLOOKUP(E20,'דוח ביצוע'!$B$3:$G$36,6,0),"")</f>
        <v/>
      </c>
      <c r="K20" s="14" t="str">
        <f ca="1">IFERROR(VLOOKUP(E20,'דוח ביצוע'!$B$3:$H$36,7,0),"")</f>
        <v/>
      </c>
      <c r="L20" s="53">
        <f t="shared" ca="1" si="2"/>
        <v>0</v>
      </c>
      <c r="M20" s="16"/>
      <c r="N20" s="17"/>
    </row>
    <row r="21" spans="2:14" ht="18" customHeight="1" x14ac:dyDescent="0.2">
      <c r="B21" s="46">
        <v>13</v>
      </c>
      <c r="E21" s="12">
        <f t="shared" si="0"/>
        <v>44209</v>
      </c>
      <c r="F21" s="13" t="str">
        <f>VLOOKUP(MOD(E21,7),$P$9:Q27,2)</f>
        <v>רביעי</v>
      </c>
      <c r="G21" s="14">
        <f ca="1">IFERROR(VLOOKUP(E21,'דוח ביצוע'!B:D,3,0),0)</f>
        <v>0</v>
      </c>
      <c r="H21" s="14">
        <f ca="1">IFERROR(VLOOKUP(E21,'דוח ביצוע'!B:E,4,0),0)</f>
        <v>0</v>
      </c>
      <c r="I21" s="35">
        <f t="shared" ca="1" si="1"/>
        <v>0</v>
      </c>
      <c r="J21" s="14" t="str">
        <f ca="1">IFERROR(VLOOKUP(E21,'דוח ביצוע'!$B$3:$G$36,6,0),"")</f>
        <v/>
      </c>
      <c r="K21" s="14" t="str">
        <f ca="1">IFERROR(VLOOKUP(E21,'דוח ביצוע'!$B$3:$H$36,7,0),"")</f>
        <v/>
      </c>
      <c r="L21" s="53">
        <f t="shared" ca="1" si="2"/>
        <v>0</v>
      </c>
      <c r="M21" s="16"/>
      <c r="N21" s="17"/>
    </row>
    <row r="22" spans="2:14" ht="18" customHeight="1" x14ac:dyDescent="0.2">
      <c r="B22" s="46">
        <v>14</v>
      </c>
      <c r="E22" s="12">
        <f t="shared" si="0"/>
        <v>44210</v>
      </c>
      <c r="F22" s="13" t="str">
        <f>VLOOKUP(MOD(E22,7),$P$9:Q28,2)</f>
        <v>חמישי</v>
      </c>
      <c r="G22" s="14">
        <f ca="1">IFERROR(VLOOKUP(E22,'דוח ביצוע'!B:D,3,0),0)</f>
        <v>0</v>
      </c>
      <c r="H22" s="14">
        <f ca="1">IFERROR(VLOOKUP(E22,'דוח ביצוע'!B:E,4,0),0)</f>
        <v>0</v>
      </c>
      <c r="I22" s="35">
        <f t="shared" ca="1" si="1"/>
        <v>0</v>
      </c>
      <c r="J22" s="14" t="str">
        <f ca="1">IFERROR(VLOOKUP(E22,'דוח ביצוע'!$B$3:$G$36,6,0),"")</f>
        <v/>
      </c>
      <c r="K22" s="14" t="str">
        <f ca="1">IFERROR(VLOOKUP(E22,'דוח ביצוע'!$B$3:$H$36,7,0),"")</f>
        <v/>
      </c>
      <c r="L22" s="53">
        <f t="shared" ca="1" si="2"/>
        <v>0</v>
      </c>
      <c r="M22" s="16"/>
      <c r="N22" s="17"/>
    </row>
    <row r="23" spans="2:14" ht="18" customHeight="1" x14ac:dyDescent="0.2">
      <c r="B23" s="46">
        <v>15</v>
      </c>
      <c r="E23" s="12">
        <f t="shared" si="0"/>
        <v>44211</v>
      </c>
      <c r="F23" s="13" t="str">
        <f>VLOOKUP(MOD(E23,7),$P$9:Q29,2)</f>
        <v>שישי</v>
      </c>
      <c r="G23" s="14"/>
      <c r="H23" s="14"/>
      <c r="I23" s="35">
        <f t="shared" si="1"/>
        <v>0</v>
      </c>
      <c r="J23" s="14" t="str">
        <f ca="1">IFERROR(VLOOKUP(E23,'דוח ביצוע'!$B$3:$G$36,6,0),"")</f>
        <v/>
      </c>
      <c r="K23" s="14" t="str">
        <f ca="1">IFERROR(VLOOKUP(E23,'דוח ביצוע'!$B$3:$H$36,7,0),"")</f>
        <v/>
      </c>
      <c r="L23" s="53">
        <f t="shared" ca="1" si="2"/>
        <v>0</v>
      </c>
      <c r="M23" s="16"/>
      <c r="N23" s="17"/>
    </row>
    <row r="24" spans="2:14" ht="18" customHeight="1" x14ac:dyDescent="0.2">
      <c r="B24" s="46">
        <v>16</v>
      </c>
      <c r="E24" s="12">
        <f t="shared" si="0"/>
        <v>44212</v>
      </c>
      <c r="F24" s="13" t="str">
        <f>VLOOKUP(MOD(E24,7),$P$9:Q30,2)</f>
        <v>שבת</v>
      </c>
      <c r="G24" s="14"/>
      <c r="H24" s="14"/>
      <c r="I24" s="35">
        <f t="shared" si="1"/>
        <v>0</v>
      </c>
      <c r="J24" s="14" t="str">
        <f ca="1">IFERROR(VLOOKUP(E24,'דוח ביצוע'!$B$3:$G$36,6,0),"")</f>
        <v/>
      </c>
      <c r="K24" s="14" t="str">
        <f ca="1">IFERROR(VLOOKUP(E24,'דוח ביצוע'!$B$3:$H$36,7,0),"")</f>
        <v/>
      </c>
      <c r="L24" s="53">
        <f t="shared" ca="1" si="2"/>
        <v>0</v>
      </c>
      <c r="M24" s="16"/>
      <c r="N24" s="17"/>
    </row>
    <row r="25" spans="2:14" ht="18" customHeight="1" x14ac:dyDescent="0.2">
      <c r="B25" s="46">
        <v>17</v>
      </c>
      <c r="E25" s="12">
        <f t="shared" si="0"/>
        <v>44213</v>
      </c>
      <c r="F25" s="13" t="str">
        <f>VLOOKUP(MOD(E25,7),$P$9:Q31,2)</f>
        <v>ראשון</v>
      </c>
      <c r="G25" s="14">
        <f ca="1">IFERROR(VLOOKUP(E25,'דוח ביצוע'!B:D,3,0),0)</f>
        <v>0</v>
      </c>
      <c r="H25" s="14">
        <f ca="1">IFERROR(VLOOKUP(E25,'דוח ביצוע'!B:E,4,0),0)</f>
        <v>0</v>
      </c>
      <c r="I25" s="35">
        <f t="shared" ca="1" si="1"/>
        <v>0</v>
      </c>
      <c r="J25" s="14" t="str">
        <f ca="1">IFERROR(VLOOKUP(E25,'דוח ביצוע'!$B$3:$G$36,6,0),"")</f>
        <v/>
      </c>
      <c r="K25" s="14" t="str">
        <f ca="1">IFERROR(VLOOKUP(E25,'דוח ביצוע'!$B$3:$H$36,7,0),"")</f>
        <v/>
      </c>
      <c r="L25" s="53">
        <f t="shared" ca="1" si="2"/>
        <v>0</v>
      </c>
      <c r="M25" s="16"/>
      <c r="N25" s="17"/>
    </row>
    <row r="26" spans="2:14" ht="18" customHeight="1" x14ac:dyDescent="0.2">
      <c r="B26" s="46">
        <v>18</v>
      </c>
      <c r="E26" s="12">
        <f t="shared" si="0"/>
        <v>44214</v>
      </c>
      <c r="F26" s="13" t="str">
        <f>VLOOKUP(MOD(E26,7),$P$9:Q32,2)</f>
        <v>שני</v>
      </c>
      <c r="G26" s="14">
        <f ca="1">IFERROR(VLOOKUP(E26,'דוח ביצוע'!B:D,3,0),0)</f>
        <v>0</v>
      </c>
      <c r="H26" s="14">
        <f ca="1">IFERROR(VLOOKUP(E26,'דוח ביצוע'!B:E,4,0),0)</f>
        <v>0</v>
      </c>
      <c r="I26" s="35">
        <f t="shared" ca="1" si="1"/>
        <v>0</v>
      </c>
      <c r="J26" s="14" t="str">
        <f ca="1">IFERROR(VLOOKUP(E26,'דוח ביצוע'!$B$3:$G$36,6,0),"")</f>
        <v/>
      </c>
      <c r="K26" s="14" t="str">
        <f ca="1">IFERROR(VLOOKUP(E26,'דוח ביצוע'!$B$3:$H$36,7,0),"")</f>
        <v/>
      </c>
      <c r="L26" s="53">
        <f t="shared" ca="1" si="2"/>
        <v>0</v>
      </c>
      <c r="M26" s="16"/>
      <c r="N26" s="17"/>
    </row>
    <row r="27" spans="2:14" ht="18" customHeight="1" x14ac:dyDescent="0.2">
      <c r="B27" s="46">
        <v>19</v>
      </c>
      <c r="E27" s="12">
        <f t="shared" si="0"/>
        <v>44215</v>
      </c>
      <c r="F27" s="13" t="str">
        <f>VLOOKUP(MOD(E27,7),$P$9:Q33,2)</f>
        <v>שלישי</v>
      </c>
      <c r="G27" s="14">
        <f ca="1">IFERROR(VLOOKUP(E27,'דוח ביצוע'!B:D,3,0),0)</f>
        <v>0</v>
      </c>
      <c r="H27" s="14">
        <f ca="1">IFERROR(VLOOKUP(E27,'דוח ביצוע'!B:E,4,0),0)</f>
        <v>0</v>
      </c>
      <c r="I27" s="35">
        <f t="shared" ca="1" si="1"/>
        <v>0</v>
      </c>
      <c r="J27" s="14" t="str">
        <f ca="1">IFERROR(VLOOKUP(E27,'דוח ביצוע'!$B$3:$G$36,6,0),"")</f>
        <v/>
      </c>
      <c r="K27" s="14" t="str">
        <f ca="1">IFERROR(VLOOKUP(E27,'דוח ביצוע'!$B$3:$H$36,7,0),"")</f>
        <v/>
      </c>
      <c r="L27" s="53">
        <f t="shared" ca="1" si="2"/>
        <v>0</v>
      </c>
      <c r="M27" s="16"/>
      <c r="N27" s="17"/>
    </row>
    <row r="28" spans="2:14" ht="18" customHeight="1" x14ac:dyDescent="0.2">
      <c r="B28" s="46">
        <v>20</v>
      </c>
      <c r="E28" s="12">
        <f t="shared" si="0"/>
        <v>44216</v>
      </c>
      <c r="F28" s="13" t="str">
        <f>VLOOKUP(MOD(E28,7),$P$9:Q34,2)</f>
        <v>רביעי</v>
      </c>
      <c r="G28" s="14">
        <f ca="1">IFERROR(VLOOKUP(E28,'דוח ביצוע'!B:D,3,0),0)</f>
        <v>0</v>
      </c>
      <c r="H28" s="14">
        <f ca="1">IFERROR(VLOOKUP(E28,'דוח ביצוע'!B:E,4,0),0)</f>
        <v>0</v>
      </c>
      <c r="I28" s="35">
        <f t="shared" ca="1" si="1"/>
        <v>0</v>
      </c>
      <c r="J28" s="14" t="str">
        <f ca="1">IFERROR(VLOOKUP(E28,'דוח ביצוע'!$B$3:$G$36,6,0),"")</f>
        <v/>
      </c>
      <c r="K28" s="14" t="str">
        <f ca="1">IFERROR(VLOOKUP(E28,'דוח ביצוע'!$B$3:$H$36,7,0),"")</f>
        <v/>
      </c>
      <c r="L28" s="53">
        <f t="shared" ca="1" si="2"/>
        <v>0</v>
      </c>
      <c r="M28" s="16"/>
      <c r="N28" s="17"/>
    </row>
    <row r="29" spans="2:14" ht="18" customHeight="1" x14ac:dyDescent="0.2">
      <c r="B29" s="46">
        <v>21</v>
      </c>
      <c r="E29" s="12">
        <f t="shared" si="0"/>
        <v>44217</v>
      </c>
      <c r="F29" s="13" t="str">
        <f>VLOOKUP(MOD(E29,7),$P$9:Q35,2)</f>
        <v>חמישי</v>
      </c>
      <c r="G29" s="14">
        <f ca="1">IFERROR(VLOOKUP(E29,'דוח ביצוע'!B:D,3,0),0)</f>
        <v>0</v>
      </c>
      <c r="H29" s="14">
        <f ca="1">IFERROR(VLOOKUP(E29,'דוח ביצוע'!B:E,4,0),0)</f>
        <v>0</v>
      </c>
      <c r="I29" s="35">
        <f t="shared" ca="1" si="1"/>
        <v>0</v>
      </c>
      <c r="J29" s="14" t="str">
        <f ca="1">IFERROR(VLOOKUP(E29,'דוח ביצוע'!$B$3:$G$36,6,0),"")</f>
        <v/>
      </c>
      <c r="K29" s="14" t="str">
        <f ca="1">IFERROR(VLOOKUP(E29,'דוח ביצוע'!$B$3:$H$36,7,0),"")</f>
        <v/>
      </c>
      <c r="L29" s="53">
        <f t="shared" ca="1" si="2"/>
        <v>0</v>
      </c>
      <c r="M29" s="16"/>
      <c r="N29" s="17"/>
    </row>
    <row r="30" spans="2:14" ht="18" customHeight="1" x14ac:dyDescent="0.2">
      <c r="B30" s="46">
        <v>22</v>
      </c>
      <c r="E30" s="12">
        <f t="shared" si="0"/>
        <v>44218</v>
      </c>
      <c r="F30" s="13" t="str">
        <f>VLOOKUP(MOD(E30,7),$P$9:Q36,2)</f>
        <v>שישי</v>
      </c>
      <c r="G30" s="14"/>
      <c r="H30" s="14"/>
      <c r="I30" s="35">
        <f t="shared" si="1"/>
        <v>0</v>
      </c>
      <c r="J30" s="14" t="str">
        <f ca="1">IFERROR(VLOOKUP(E30,'דוח ביצוע'!$B$3:$G$36,6,0),"")</f>
        <v/>
      </c>
      <c r="K30" s="14" t="str">
        <f ca="1">IFERROR(VLOOKUP(E30,'דוח ביצוע'!$B$3:$H$36,7,0),"")</f>
        <v/>
      </c>
      <c r="L30" s="53">
        <f t="shared" ca="1" si="2"/>
        <v>0</v>
      </c>
      <c r="M30" s="16"/>
      <c r="N30" s="17"/>
    </row>
    <row r="31" spans="2:14" ht="18" customHeight="1" x14ac:dyDescent="0.2">
      <c r="B31" s="46">
        <v>23</v>
      </c>
      <c r="E31" s="12">
        <f t="shared" si="0"/>
        <v>44219</v>
      </c>
      <c r="F31" s="13" t="str">
        <f>VLOOKUP(MOD(E31,7),$P$9:Q37,2)</f>
        <v>שבת</v>
      </c>
      <c r="G31" s="14"/>
      <c r="H31" s="14"/>
      <c r="I31" s="35">
        <f t="shared" si="1"/>
        <v>0</v>
      </c>
      <c r="J31" s="14" t="str">
        <f ca="1">IFERROR(VLOOKUP(E31,'דוח ביצוע'!$B$3:$G$36,6,0),"")</f>
        <v/>
      </c>
      <c r="K31" s="14" t="str">
        <f ca="1">IFERROR(VLOOKUP(E31,'דוח ביצוע'!$B$3:$H$36,7,0),"")</f>
        <v/>
      </c>
      <c r="L31" s="53">
        <f t="shared" ca="1" si="2"/>
        <v>0</v>
      </c>
      <c r="M31" s="16"/>
      <c r="N31" s="17"/>
    </row>
    <row r="32" spans="2:14" ht="18" customHeight="1" x14ac:dyDescent="0.2">
      <c r="B32" s="46">
        <v>24</v>
      </c>
      <c r="E32" s="12">
        <f t="shared" si="0"/>
        <v>44220</v>
      </c>
      <c r="F32" s="13" t="str">
        <f>VLOOKUP(MOD(E32,7),$P$9:Q38,2)</f>
        <v>ראשון</v>
      </c>
      <c r="G32" s="14">
        <f ca="1">IFERROR(VLOOKUP(E32,'דוח ביצוע'!B:D,3,0),0)</f>
        <v>0</v>
      </c>
      <c r="H32" s="14">
        <f ca="1">IFERROR(VLOOKUP(E32,'דוח ביצוע'!B:E,4,0),0)</f>
        <v>0</v>
      </c>
      <c r="I32" s="35">
        <f t="shared" ca="1" si="1"/>
        <v>0</v>
      </c>
      <c r="J32" s="14" t="str">
        <f ca="1">IFERROR(VLOOKUP(E32,'דוח ביצוע'!$B$3:$G$36,6,0),"")</f>
        <v/>
      </c>
      <c r="K32" s="14" t="str">
        <f ca="1">IFERROR(VLOOKUP(E32,'דוח ביצוע'!$B$3:$H$36,7,0),"")</f>
        <v/>
      </c>
      <c r="L32" s="53">
        <f t="shared" ca="1" si="2"/>
        <v>0</v>
      </c>
      <c r="M32" s="16"/>
      <c r="N32" s="17"/>
    </row>
    <row r="33" spans="2:20" ht="18" customHeight="1" x14ac:dyDescent="0.2">
      <c r="B33" s="46">
        <v>25</v>
      </c>
      <c r="E33" s="12">
        <f t="shared" si="0"/>
        <v>44221</v>
      </c>
      <c r="F33" s="13" t="str">
        <f>VLOOKUP(MOD(E33,7),$P$9:Q39,2)</f>
        <v>שני</v>
      </c>
      <c r="G33" s="14">
        <f ca="1">IFERROR(VLOOKUP(E33,'דוח ביצוע'!B:D,3,0),0)</f>
        <v>0</v>
      </c>
      <c r="H33" s="14">
        <f ca="1">IFERROR(VLOOKUP(E33,'דוח ביצוע'!B:E,4,0),0)</f>
        <v>0</v>
      </c>
      <c r="I33" s="35">
        <f t="shared" ca="1" si="1"/>
        <v>0</v>
      </c>
      <c r="J33" s="14" t="str">
        <f ca="1">IFERROR(VLOOKUP(E33,'דוח ביצוע'!$B$3:$G$36,6,0),"")</f>
        <v/>
      </c>
      <c r="K33" s="14" t="str">
        <f ca="1">IFERROR(VLOOKUP(E33,'דוח ביצוע'!$B$3:$H$36,7,0),"")</f>
        <v/>
      </c>
      <c r="L33" s="53">
        <f t="shared" ca="1" si="2"/>
        <v>0</v>
      </c>
      <c r="M33" s="16"/>
      <c r="N33" s="17"/>
    </row>
    <row r="34" spans="2:20" ht="18" customHeight="1" x14ac:dyDescent="0.2">
      <c r="B34" s="46">
        <v>26</v>
      </c>
      <c r="E34" s="12">
        <f t="shared" si="0"/>
        <v>44222</v>
      </c>
      <c r="F34" s="13" t="str">
        <f>VLOOKUP(MOD(E34,7),$P$9:Q40,2)</f>
        <v>שלישי</v>
      </c>
      <c r="G34" s="14">
        <f ca="1">IFERROR(VLOOKUP(E34,'דוח ביצוע'!B:D,3,0),0)</f>
        <v>0</v>
      </c>
      <c r="H34" s="14">
        <f ca="1">IFERROR(VLOOKUP(E34,'דוח ביצוע'!B:E,4,0),0)</f>
        <v>0</v>
      </c>
      <c r="I34" s="35">
        <f t="shared" ca="1" si="1"/>
        <v>0</v>
      </c>
      <c r="J34" s="14" t="str">
        <f ca="1">IFERROR(VLOOKUP(E34,'דוח ביצוע'!$B$3:$G$36,6,0),"")</f>
        <v/>
      </c>
      <c r="K34" s="14" t="str">
        <f ca="1">IFERROR(VLOOKUP(E34,'דוח ביצוע'!$B$3:$H$36,7,0),"")</f>
        <v/>
      </c>
      <c r="L34" s="53">
        <f t="shared" ca="1" si="2"/>
        <v>0</v>
      </c>
      <c r="M34" s="16"/>
      <c r="N34" s="17"/>
    </row>
    <row r="35" spans="2:20" ht="18" customHeight="1" x14ac:dyDescent="0.2">
      <c r="B35" s="46">
        <v>27</v>
      </c>
      <c r="E35" s="12">
        <f t="shared" si="0"/>
        <v>44223</v>
      </c>
      <c r="F35" s="13" t="str">
        <f>VLOOKUP(MOD(E35,7),$P$9:Q41,2)</f>
        <v>רביעי</v>
      </c>
      <c r="G35" s="14">
        <f ca="1">IFERROR(VLOOKUP(E35,'דוח ביצוע'!B:D,3,0),0)</f>
        <v>0</v>
      </c>
      <c r="H35" s="14">
        <f ca="1">IFERROR(VLOOKUP(E35,'דוח ביצוע'!B:E,4,0),0)</f>
        <v>0</v>
      </c>
      <c r="I35" s="35">
        <f t="shared" ca="1" si="1"/>
        <v>0</v>
      </c>
      <c r="J35" s="14" t="str">
        <f ca="1">IFERROR(VLOOKUP(E35,'דוח ביצוע'!$B$3:$G$36,6,0),"")</f>
        <v/>
      </c>
      <c r="K35" s="14" t="str">
        <f ca="1">IFERROR(VLOOKUP(E35,'דוח ביצוע'!$B$3:$H$36,7,0),"")</f>
        <v/>
      </c>
      <c r="L35" s="53">
        <f t="shared" ca="1" si="2"/>
        <v>0</v>
      </c>
      <c r="M35" s="16"/>
      <c r="N35" s="17"/>
    </row>
    <row r="36" spans="2:20" ht="18" customHeight="1" x14ac:dyDescent="0.2">
      <c r="B36" s="46">
        <v>28</v>
      </c>
      <c r="E36" s="12">
        <f t="shared" si="0"/>
        <v>44224</v>
      </c>
      <c r="F36" s="13" t="str">
        <f>VLOOKUP(MOD(E36,7),$P$9:Q42,2)</f>
        <v>חמישי</v>
      </c>
      <c r="G36" s="14">
        <f ca="1">IFERROR(VLOOKUP(E36,'דוח ביצוע'!B:D,3,0),0)</f>
        <v>0</v>
      </c>
      <c r="H36" s="14">
        <f ca="1">IFERROR(VLOOKUP(E36,'דוח ביצוע'!B:E,4,0),0)</f>
        <v>0</v>
      </c>
      <c r="I36" s="35">
        <f t="shared" ca="1" si="1"/>
        <v>0</v>
      </c>
      <c r="J36" s="14" t="str">
        <f ca="1">IFERROR(VLOOKUP(E36,'דוח ביצוע'!$B$3:$G$36,6,0),"")</f>
        <v/>
      </c>
      <c r="K36" s="14" t="str">
        <f ca="1">IFERROR(VLOOKUP(E36,'דוח ביצוע'!$B$3:$H$36,7,0),"")</f>
        <v/>
      </c>
      <c r="L36" s="53">
        <f t="shared" ca="1" si="2"/>
        <v>0</v>
      </c>
      <c r="M36" s="16"/>
      <c r="N36" s="17"/>
      <c r="P36" s="19"/>
    </row>
    <row r="37" spans="2:20" ht="18" customHeight="1" x14ac:dyDescent="0.2">
      <c r="B37" s="46">
        <v>29</v>
      </c>
      <c r="E37" s="12">
        <f t="shared" si="0"/>
        <v>44225</v>
      </c>
      <c r="F37" s="13" t="str">
        <f>VLOOKUP(MOD(E37,7),$P$9:Q43,2)</f>
        <v>שישי</v>
      </c>
      <c r="G37" s="14"/>
      <c r="H37" s="14"/>
      <c r="I37" s="35">
        <f t="shared" si="1"/>
        <v>0</v>
      </c>
      <c r="J37" s="14" t="str">
        <f ca="1">IFERROR(VLOOKUP(E37,'דוח ביצוע'!$B$3:$G$36,6,0),"")</f>
        <v/>
      </c>
      <c r="K37" s="14" t="str">
        <f ca="1">IFERROR(VLOOKUP(E37,'דוח ביצוע'!$B$3:$H$36,7,0),"")</f>
        <v/>
      </c>
      <c r="L37" s="53">
        <f t="shared" ca="1" si="2"/>
        <v>0</v>
      </c>
      <c r="M37" s="16"/>
      <c r="N37" s="17"/>
      <c r="P37" s="19"/>
      <c r="Q37" s="20"/>
    </row>
    <row r="38" spans="2:20" ht="23.25" customHeight="1" x14ac:dyDescent="0.2">
      <c r="B38" s="46">
        <v>30</v>
      </c>
      <c r="E38" s="12">
        <f t="shared" si="0"/>
        <v>44226</v>
      </c>
      <c r="F38" s="13" t="str">
        <f>VLOOKUP(MOD(E38,7),$P$9:Q44,2)</f>
        <v>שבת</v>
      </c>
      <c r="G38" s="14"/>
      <c r="H38" s="14"/>
      <c r="I38" s="35">
        <f t="shared" si="1"/>
        <v>0</v>
      </c>
      <c r="J38" s="14" t="str">
        <f ca="1">IFERROR(VLOOKUP(E38,'דוח ביצוע'!$B$3:$G$36,6,0),"")</f>
        <v/>
      </c>
      <c r="K38" s="14" t="str">
        <f ca="1">IFERROR(VLOOKUP(E38,'דוח ביצוע'!$B$3:$H$36,7,0),"")</f>
        <v/>
      </c>
      <c r="L38" s="53">
        <f t="shared" ca="1" si="2"/>
        <v>0</v>
      </c>
      <c r="M38" s="16"/>
      <c r="N38" s="17"/>
      <c r="P38" s="19"/>
    </row>
    <row r="39" spans="2:20" s="2" customFormat="1" ht="24.95" customHeight="1" x14ac:dyDescent="0.2">
      <c r="B39" s="46">
        <v>31</v>
      </c>
      <c r="D39" s="1"/>
      <c r="E39" s="12">
        <f t="shared" si="0"/>
        <v>44227</v>
      </c>
      <c r="F39" s="13" t="str">
        <f>VLOOKUP(MOD(E39,7),$P$9:Q45,2)</f>
        <v>ראשון</v>
      </c>
      <c r="G39" s="14">
        <f ca="1">IFERROR(VLOOKUP(E39,'דוח ביצוע'!B:D,3,0),0)</f>
        <v>0</v>
      </c>
      <c r="H39" s="14">
        <f ca="1">IFERROR(VLOOKUP(E39,'דוח ביצוע'!B:E,4,0),0)</f>
        <v>0</v>
      </c>
      <c r="I39" s="35">
        <f t="shared" ca="1" si="1"/>
        <v>0</v>
      </c>
      <c r="J39" s="14" t="str">
        <f ca="1">IFERROR(VLOOKUP(E39,'דוח ביצוע'!$B$3:$G$36,6,0),"")</f>
        <v/>
      </c>
      <c r="K39" s="14" t="str">
        <f ca="1">IFERROR(VLOOKUP(E39,'דוח ביצוע'!$B$3:$H$36,7,0),"")</f>
        <v/>
      </c>
      <c r="L39" s="53">
        <f t="shared" ca="1" si="2"/>
        <v>0</v>
      </c>
      <c r="M39" s="16"/>
      <c r="N39" s="17"/>
      <c r="O39" s="1"/>
      <c r="P39" s="19"/>
      <c r="Q39" s="1"/>
      <c r="R39" s="1"/>
      <c r="S39" s="1"/>
      <c r="T39" s="1"/>
    </row>
    <row r="40" spans="2:20" s="2" customFormat="1" ht="24.95" customHeight="1" x14ac:dyDescent="0.2">
      <c r="D40" s="1"/>
      <c r="E40" s="21"/>
      <c r="F40" s="22"/>
      <c r="G40" s="23"/>
      <c r="H40" s="23"/>
      <c r="I40" s="24"/>
      <c r="J40" s="23"/>
      <c r="K40" s="23"/>
      <c r="L40" s="24"/>
      <c r="M40" s="25"/>
      <c r="N40" s="10"/>
      <c r="O40" s="1"/>
      <c r="P40" s="1"/>
      <c r="Q40" s="1"/>
      <c r="R40" s="1"/>
      <c r="S40" s="1"/>
      <c r="T40" s="1"/>
    </row>
    <row r="41" spans="2:20" s="2" customFormat="1" ht="36.75" customHeight="1" x14ac:dyDescent="0.2">
      <c r="D41" s="1"/>
      <c r="E41" s="1"/>
      <c r="F41" s="22"/>
      <c r="G41" s="23"/>
      <c r="H41" s="23"/>
      <c r="I41" s="24"/>
      <c r="J41" s="23"/>
      <c r="K41" s="23"/>
      <c r="L41" s="24"/>
      <c r="M41" s="25"/>
      <c r="N41" s="10"/>
      <c r="O41" s="1"/>
      <c r="P41" s="1"/>
      <c r="Q41" s="1"/>
      <c r="R41" s="1"/>
      <c r="S41" s="1"/>
      <c r="T41" s="1"/>
    </row>
    <row r="42" spans="2:20" ht="34.5" customHeight="1" x14ac:dyDescent="0.2">
      <c r="D42" s="2"/>
      <c r="E42" s="2"/>
      <c r="F42" s="2"/>
      <c r="G42" s="146" t="s">
        <v>22</v>
      </c>
      <c r="H42" s="147"/>
      <c r="I42" s="43">
        <f ca="1">SUM(I9:I39)</f>
        <v>0</v>
      </c>
      <c r="J42" s="2"/>
      <c r="K42" s="2"/>
      <c r="L42" s="148" t="s">
        <v>23</v>
      </c>
      <c r="M42" s="149"/>
      <c r="N42" s="27"/>
      <c r="O42" s="28"/>
      <c r="P42" s="2"/>
      <c r="Q42" s="2"/>
      <c r="R42" s="2"/>
      <c r="S42" s="2"/>
      <c r="T42" s="2"/>
    </row>
    <row r="43" spans="2:20" ht="31.5" customHeight="1" x14ac:dyDescent="0.2">
      <c r="D43" s="2"/>
      <c r="E43" s="2"/>
      <c r="F43" s="2"/>
      <c r="G43" s="146" t="s">
        <v>24</v>
      </c>
      <c r="H43" s="147"/>
      <c r="I43" s="44">
        <f ca="1">SUM(L9:L39)</f>
        <v>0</v>
      </c>
      <c r="J43" s="2"/>
      <c r="K43" s="2"/>
      <c r="L43" s="148" t="s">
        <v>25</v>
      </c>
      <c r="M43" s="149"/>
      <c r="N43" s="17"/>
      <c r="O43" s="28"/>
      <c r="P43" s="2"/>
      <c r="Q43" s="2"/>
      <c r="R43" s="2"/>
      <c r="S43" s="2"/>
      <c r="T43" s="2"/>
    </row>
    <row r="44" spans="2:20" ht="37.5" customHeight="1" x14ac:dyDescent="0.2">
      <c r="D44" s="2"/>
      <c r="E44" s="2"/>
      <c r="F44" s="2"/>
      <c r="G44" s="146" t="s">
        <v>26</v>
      </c>
      <c r="H44" s="147"/>
      <c r="I44" s="29">
        <f>COUNTA(M9:M39)</f>
        <v>0</v>
      </c>
      <c r="J44" s="2"/>
      <c r="K44" s="2"/>
      <c r="L44" s="148" t="s">
        <v>27</v>
      </c>
      <c r="M44" s="149"/>
      <c r="N44" s="17"/>
      <c r="O44" s="28"/>
      <c r="P44" s="2"/>
      <c r="Q44" s="2"/>
      <c r="R44" s="2"/>
      <c r="S44" s="2"/>
      <c r="T44" s="2"/>
    </row>
  </sheetData>
  <mergeCells count="10">
    <mergeCell ref="G43:H43"/>
    <mergeCell ref="L43:M43"/>
    <mergeCell ref="G44:H44"/>
    <mergeCell ref="L44:M44"/>
    <mergeCell ref="I3:K3"/>
    <mergeCell ref="I4:K4"/>
    <mergeCell ref="G7:I7"/>
    <mergeCell ref="J7:L7"/>
    <mergeCell ref="G42:H42"/>
    <mergeCell ref="L42:M42"/>
  </mergeCells>
  <dataValidations count="1">
    <dataValidation type="list" allowBlank="1" showInputMessage="1" showErrorMessage="1" sqref="M9:M39" xr:uid="{00000000-0002-0000-0300-000000000000}">
      <formula1>$R$9:$R$10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גיליון3">
    <pageSetUpPr fitToPage="1"/>
  </sheetPr>
  <dimension ref="A1:R42"/>
  <sheetViews>
    <sheetView rightToLeft="1" topLeftCell="D1" zoomScaleNormal="100" workbookViewId="0">
      <selection activeCell="D5" sqref="A1:XFD5"/>
    </sheetView>
  </sheetViews>
  <sheetFormatPr defaultColWidth="9.140625" defaultRowHeight="12.75" x14ac:dyDescent="0.2"/>
  <cols>
    <col min="1" max="3" width="3.42578125" style="1" hidden="1" customWidth="1"/>
    <col min="4" max="4" width="2.85546875" style="1" customWidth="1"/>
    <col min="5" max="5" width="12.28515625" style="1" customWidth="1"/>
    <col min="6" max="6" width="14.5703125" style="1" bestFit="1" customWidth="1"/>
    <col min="7" max="7" width="11.42578125" style="1" bestFit="1" customWidth="1"/>
    <col min="8" max="8" width="14.140625" style="1" bestFit="1" customWidth="1"/>
    <col min="9" max="9" width="12.85546875" style="1" bestFit="1" customWidth="1"/>
    <col min="10" max="12" width="8.7109375" style="1" customWidth="1"/>
    <col min="13" max="13" width="11.7109375" style="1" customWidth="1"/>
    <col min="14" max="14" width="19.42578125" style="1" customWidth="1"/>
    <col min="15" max="15" width="2.28515625" style="1" hidden="1" customWidth="1"/>
    <col min="16" max="16" width="2.42578125" style="1" hidden="1" customWidth="1"/>
    <col min="17" max="17" width="8.28515625" style="1" hidden="1" customWidth="1"/>
    <col min="18" max="18" width="2.5703125" style="1" hidden="1" customWidth="1"/>
    <col min="19" max="19" width="0" style="1" hidden="1" customWidth="1"/>
    <col min="20" max="16384" width="9.140625" style="1"/>
  </cols>
  <sheetData>
    <row r="1" spans="1:18" ht="15.95" customHeight="1" x14ac:dyDescent="0.2"/>
    <row r="2" spans="1:18" ht="15.95" customHeight="1" x14ac:dyDescent="0.2"/>
    <row r="3" spans="1:18" s="2" customFormat="1" ht="21.95" customHeight="1" x14ac:dyDescent="0.2">
      <c r="E3" s="3" t="s">
        <v>0</v>
      </c>
      <c r="F3" s="4">
        <v>2021</v>
      </c>
      <c r="H3" s="3" t="s">
        <v>1</v>
      </c>
      <c r="I3" s="150"/>
      <c r="J3" s="151"/>
      <c r="K3" s="152"/>
    </row>
    <row r="4" spans="1:18" s="2" customFormat="1" ht="21.95" customHeight="1" x14ac:dyDescent="0.2">
      <c r="E4" s="3" t="s">
        <v>2</v>
      </c>
      <c r="F4" s="4">
        <v>2</v>
      </c>
      <c r="H4" s="3" t="s">
        <v>3</v>
      </c>
      <c r="I4" s="150"/>
      <c r="J4" s="151"/>
      <c r="K4" s="152"/>
    </row>
    <row r="5" spans="1:18" s="2" customFormat="1" ht="21.95" customHeight="1" x14ac:dyDescent="0.2">
      <c r="E5" s="5" t="s">
        <v>4</v>
      </c>
      <c r="F5" s="4"/>
      <c r="H5" s="6"/>
      <c r="I5" s="7"/>
      <c r="J5" s="7"/>
      <c r="K5" s="7"/>
    </row>
    <row r="6" spans="1:18" ht="18" customHeight="1" x14ac:dyDescent="0.2"/>
    <row r="7" spans="1:18" ht="18" customHeight="1" x14ac:dyDescent="0.2">
      <c r="G7" s="153" t="s">
        <v>5</v>
      </c>
      <c r="H7" s="153"/>
      <c r="I7" s="153"/>
      <c r="J7" s="153" t="s">
        <v>6</v>
      </c>
      <c r="K7" s="153"/>
      <c r="L7" s="153"/>
    </row>
    <row r="8" spans="1:18" ht="34.5" x14ac:dyDescent="0.2">
      <c r="E8" s="8" t="s">
        <v>7</v>
      </c>
      <c r="F8" s="8" t="s">
        <v>8</v>
      </c>
      <c r="G8" s="8" t="s">
        <v>9</v>
      </c>
      <c r="H8" s="8" t="s">
        <v>10</v>
      </c>
      <c r="I8" s="8" t="s">
        <v>11</v>
      </c>
      <c r="J8" s="8" t="s">
        <v>9</v>
      </c>
      <c r="K8" s="8" t="s">
        <v>10</v>
      </c>
      <c r="L8" s="8" t="s">
        <v>11</v>
      </c>
      <c r="M8" s="8" t="s">
        <v>12</v>
      </c>
      <c r="N8" s="8" t="s">
        <v>13</v>
      </c>
      <c r="Q8" s="9" t="s">
        <v>8</v>
      </c>
      <c r="R8" s="10"/>
    </row>
    <row r="9" spans="1:18" ht="18" customHeight="1" x14ac:dyDescent="0.2">
      <c r="A9" s="11"/>
      <c r="B9" s="11">
        <v>1</v>
      </c>
      <c r="C9" s="11"/>
      <c r="E9" s="12">
        <f>DATE($F$3,$F$4,B9)</f>
        <v>44228</v>
      </c>
      <c r="F9" s="13" t="str">
        <f>VLOOKUP(MOD(E9,7),$P$9:Q15,2)</f>
        <v>שני</v>
      </c>
      <c r="G9" s="14">
        <f ca="1">IFERROR(VLOOKUP(E9,'דוח ביצוע'!B:D,3,0),0)</f>
        <v>0</v>
      </c>
      <c r="H9" s="14">
        <f ca="1">IFERROR(VLOOKUP(E9,'דוח ביצוע'!B:E,4,0),0)</f>
        <v>0</v>
      </c>
      <c r="I9" s="35">
        <f ca="1">IFERROR(24*(H9-G9),0)</f>
        <v>0</v>
      </c>
      <c r="J9" s="14" t="str">
        <f ca="1">IFERROR(VLOOKUP(E9,'דוח ביצוע'!$B$3:$G$36,6,0),"")</f>
        <v/>
      </c>
      <c r="K9" s="14" t="str">
        <f ca="1">IFERROR(VLOOKUP(E9,'דוח ביצוע'!$B$3:$H$36,7,0),"")</f>
        <v/>
      </c>
      <c r="L9" s="35">
        <f t="shared" ref="L9:L31" ca="1" si="0">IFERROR(24*(K9-J9),0)</f>
        <v>0</v>
      </c>
      <c r="M9" s="16"/>
      <c r="N9" s="17"/>
      <c r="P9" s="1">
        <v>0</v>
      </c>
      <c r="Q9" s="1" t="s">
        <v>14</v>
      </c>
      <c r="R9" s="18" t="s">
        <v>15</v>
      </c>
    </row>
    <row r="10" spans="1:18" ht="18" customHeight="1" x14ac:dyDescent="0.2">
      <c r="A10" s="11"/>
      <c r="B10" s="11">
        <v>2</v>
      </c>
      <c r="C10" s="11"/>
      <c r="E10" s="12">
        <f t="shared" ref="E10:E36" si="1">DATE($F$3,$F$4,B10)</f>
        <v>44229</v>
      </c>
      <c r="F10" s="13" t="str">
        <f>VLOOKUP(MOD(E10,7),$P$9:Q16,2)</f>
        <v>שלישי</v>
      </c>
      <c r="G10" s="14">
        <f ca="1">IFERROR(VLOOKUP(E10,'דוח ביצוע'!B:D,3,0),0)</f>
        <v>0</v>
      </c>
      <c r="H10" s="14">
        <f ca="1">IFERROR(VLOOKUP(E10,'דוח ביצוע'!B:E,4,0),0)</f>
        <v>0</v>
      </c>
      <c r="I10" s="35">
        <f ca="1">IFERROR(24*(H10-G10),0)</f>
        <v>0</v>
      </c>
      <c r="J10" s="14" t="str">
        <f ca="1">IFERROR(VLOOKUP(E10,'דוח ביצוע'!$B$3:$G$36,6,0),"")</f>
        <v/>
      </c>
      <c r="K10" s="14" t="str">
        <f ca="1">IFERROR(VLOOKUP(E10,'דוח ביצוע'!$B$3:$H$36,7,0),"")</f>
        <v/>
      </c>
      <c r="L10" s="35">
        <f t="shared" ca="1" si="0"/>
        <v>0</v>
      </c>
      <c r="M10" s="16"/>
      <c r="N10" s="17"/>
      <c r="P10" s="1">
        <v>1</v>
      </c>
      <c r="Q10" s="1" t="s">
        <v>16</v>
      </c>
    </row>
    <row r="11" spans="1:18" ht="18" customHeight="1" x14ac:dyDescent="0.2">
      <c r="A11" s="11"/>
      <c r="B11" s="11">
        <v>3</v>
      </c>
      <c r="C11" s="11"/>
      <c r="E11" s="12">
        <f t="shared" si="1"/>
        <v>44230</v>
      </c>
      <c r="F11" s="13" t="str">
        <f>VLOOKUP(MOD(E11,7),$P$9:Q17,2)</f>
        <v>רביעי</v>
      </c>
      <c r="G11" s="14">
        <f ca="1">IFERROR(VLOOKUP(E11,'דוח ביצוע'!B:D,3,0),0)</f>
        <v>0</v>
      </c>
      <c r="H11" s="14">
        <f ca="1">IFERROR(VLOOKUP(E11,'דוח ביצוע'!B:E,4,0),0)</f>
        <v>0</v>
      </c>
      <c r="I11" s="35">
        <f ca="1">IFERROR(24*(H11-G11),0)</f>
        <v>0</v>
      </c>
      <c r="J11" s="14" t="str">
        <f ca="1">IFERROR(VLOOKUP(E11,'דוח ביצוע'!$B$3:$G$36,6,0),"")</f>
        <v/>
      </c>
      <c r="K11" s="14" t="str">
        <f ca="1">IFERROR(VLOOKUP(E11,'דוח ביצוע'!$B$3:$H$36,7,0),"")</f>
        <v/>
      </c>
      <c r="L11" s="35">
        <f t="shared" ca="1" si="0"/>
        <v>0</v>
      </c>
      <c r="M11" s="16"/>
      <c r="N11" s="17"/>
      <c r="P11" s="1">
        <v>2</v>
      </c>
      <c r="Q11" s="1" t="s">
        <v>17</v>
      </c>
    </row>
    <row r="12" spans="1:18" ht="18" customHeight="1" x14ac:dyDescent="0.2">
      <c r="A12" s="11"/>
      <c r="B12" s="11">
        <v>4</v>
      </c>
      <c r="C12" s="11"/>
      <c r="E12" s="12">
        <f t="shared" si="1"/>
        <v>44231</v>
      </c>
      <c r="F12" s="13" t="str">
        <f>VLOOKUP(MOD(E12,7),$P$9:Q18,2)</f>
        <v>חמישי</v>
      </c>
      <c r="G12" s="14">
        <f ca="1">IFERROR(VLOOKUP(E12,'דוח ביצוע'!B:D,3,0),0)</f>
        <v>0</v>
      </c>
      <c r="H12" s="14">
        <f ca="1">IFERROR(VLOOKUP(E12,'דוח ביצוע'!B:E,4,0),0)</f>
        <v>0</v>
      </c>
      <c r="I12" s="35">
        <f ca="1">IFERROR(24*(H12-G12),0)</f>
        <v>0</v>
      </c>
      <c r="J12" s="14" t="str">
        <f ca="1">IFERROR(VLOOKUP(E12,'דוח ביצוע'!$B$3:$G$36,6,0),"")</f>
        <v/>
      </c>
      <c r="K12" s="14" t="str">
        <f ca="1">IFERROR(VLOOKUP(E12,'דוח ביצוע'!$B$3:$H$36,7,0),"")</f>
        <v/>
      </c>
      <c r="L12" s="35">
        <f t="shared" ca="1" si="0"/>
        <v>0</v>
      </c>
      <c r="M12" s="16"/>
      <c r="N12" s="17"/>
      <c r="P12" s="1">
        <v>3</v>
      </c>
      <c r="Q12" s="1" t="s">
        <v>18</v>
      </c>
    </row>
    <row r="13" spans="1:18" ht="18" customHeight="1" x14ac:dyDescent="0.2">
      <c r="A13" s="11"/>
      <c r="B13" s="11">
        <v>5</v>
      </c>
      <c r="C13" s="11"/>
      <c r="E13" s="12">
        <f t="shared" si="1"/>
        <v>44232</v>
      </c>
      <c r="F13" s="13" t="str">
        <f>VLOOKUP(MOD(E13,7),$P$9:Q19,2)</f>
        <v>שישי</v>
      </c>
      <c r="G13" s="14"/>
      <c r="H13" s="14"/>
      <c r="I13" s="35">
        <f t="shared" ref="I13:I35" si="2">IFERROR(24*(H13-G13),0)</f>
        <v>0</v>
      </c>
      <c r="J13" s="14" t="str">
        <f ca="1">IFERROR(VLOOKUP(E13,'דוח ביצוע'!$B$3:$G$36,6,0),"")</f>
        <v/>
      </c>
      <c r="K13" s="14" t="str">
        <f ca="1">IFERROR(VLOOKUP(E13,'דוח ביצוע'!$B$3:$H$36,7,0),"")</f>
        <v/>
      </c>
      <c r="L13" s="35">
        <f t="shared" ca="1" si="0"/>
        <v>0</v>
      </c>
      <c r="M13" s="16"/>
      <c r="N13" s="17"/>
      <c r="P13" s="1">
        <v>4</v>
      </c>
      <c r="Q13" s="1" t="s">
        <v>19</v>
      </c>
    </row>
    <row r="14" spans="1:18" ht="18" customHeight="1" x14ac:dyDescent="0.2">
      <c r="A14" s="11"/>
      <c r="B14" s="11">
        <v>6</v>
      </c>
      <c r="C14" s="11"/>
      <c r="E14" s="12">
        <f t="shared" si="1"/>
        <v>44233</v>
      </c>
      <c r="F14" s="13" t="str">
        <f>VLOOKUP(MOD(E14,7),$P$9:Q20,2)</f>
        <v>שבת</v>
      </c>
      <c r="G14" s="14"/>
      <c r="H14" s="14"/>
      <c r="I14" s="35">
        <f t="shared" si="2"/>
        <v>0</v>
      </c>
      <c r="J14" s="14" t="str">
        <f ca="1">IFERROR(VLOOKUP(E14,'דוח ביצוע'!$B$3:$G$36,6,0),"")</f>
        <v/>
      </c>
      <c r="K14" s="14" t="str">
        <f ca="1">IFERROR(VLOOKUP(E14,'דוח ביצוע'!$B$3:$H$36,7,0),"")</f>
        <v/>
      </c>
      <c r="L14" s="35">
        <f t="shared" ca="1" si="0"/>
        <v>0</v>
      </c>
      <c r="M14" s="16"/>
      <c r="N14" s="17"/>
      <c r="P14" s="1">
        <v>5</v>
      </c>
      <c r="Q14" s="1" t="s">
        <v>20</v>
      </c>
    </row>
    <row r="15" spans="1:18" ht="18" customHeight="1" x14ac:dyDescent="0.2">
      <c r="A15" s="11"/>
      <c r="B15" s="11">
        <v>7</v>
      </c>
      <c r="C15" s="11"/>
      <c r="E15" s="12">
        <f t="shared" si="1"/>
        <v>44234</v>
      </c>
      <c r="F15" s="13" t="str">
        <f>VLOOKUP(MOD(E15,7),$P$9:Q21,2)</f>
        <v>ראשון</v>
      </c>
      <c r="G15" s="14">
        <f ca="1">IFERROR(VLOOKUP(E15,'דוח ביצוע'!B:D,3,0),0)</f>
        <v>0</v>
      </c>
      <c r="H15" s="14">
        <f ca="1">IFERROR(VLOOKUP(E15,'דוח ביצוע'!B:E,4,0),0)</f>
        <v>0</v>
      </c>
      <c r="I15" s="35">
        <f ca="1">IFERROR(24*(H15-G15),0)</f>
        <v>0</v>
      </c>
      <c r="J15" s="14" t="str">
        <f ca="1">IFERROR(VLOOKUP(E15,'דוח ביצוע'!$B$3:$G$36,6,0),"")</f>
        <v/>
      </c>
      <c r="K15" s="14" t="str">
        <f ca="1">IFERROR(VLOOKUP(E15,'דוח ביצוע'!$B$3:$H$36,7,0),"")</f>
        <v/>
      </c>
      <c r="L15" s="35">
        <f t="shared" ca="1" si="0"/>
        <v>0</v>
      </c>
      <c r="M15" s="16"/>
      <c r="N15" s="17"/>
      <c r="P15" s="1">
        <v>6</v>
      </c>
      <c r="Q15" s="1" t="s">
        <v>21</v>
      </c>
    </row>
    <row r="16" spans="1:18" ht="18" customHeight="1" x14ac:dyDescent="0.2">
      <c r="A16" s="11"/>
      <c r="B16" s="11">
        <v>8</v>
      </c>
      <c r="C16" s="11"/>
      <c r="E16" s="12">
        <f t="shared" si="1"/>
        <v>44235</v>
      </c>
      <c r="F16" s="13" t="str">
        <f>VLOOKUP(MOD(E16,7),$P$9:Q22,2)</f>
        <v>שני</v>
      </c>
      <c r="G16" s="14">
        <f ca="1">IFERROR(VLOOKUP(E16,'דוח ביצוע'!B:D,3,0),0)</f>
        <v>0</v>
      </c>
      <c r="H16" s="14">
        <f ca="1">IFERROR(VLOOKUP(E16,'דוח ביצוע'!B:E,4,0),0)</f>
        <v>0</v>
      </c>
      <c r="I16" s="35">
        <f ca="1">IFERROR(24*(H16-G16),0)</f>
        <v>0</v>
      </c>
      <c r="J16" s="14" t="str">
        <f ca="1">IFERROR(VLOOKUP(E16,'דוח ביצוע'!$B$3:$G$36,6,0),"")</f>
        <v/>
      </c>
      <c r="K16" s="14" t="str">
        <f ca="1">IFERROR(VLOOKUP(E16,'דוח ביצוע'!$B$3:$H$36,7,0),"")</f>
        <v/>
      </c>
      <c r="L16" s="35">
        <f t="shared" ca="1" si="0"/>
        <v>0</v>
      </c>
      <c r="M16" s="16"/>
      <c r="N16" s="17"/>
    </row>
    <row r="17" spans="1:14" ht="18" customHeight="1" x14ac:dyDescent="0.2">
      <c r="A17" s="11"/>
      <c r="B17" s="11">
        <v>9</v>
      </c>
      <c r="C17" s="11"/>
      <c r="E17" s="12">
        <f t="shared" si="1"/>
        <v>44236</v>
      </c>
      <c r="F17" s="13" t="str">
        <f>VLOOKUP(MOD(E17,7),$P$9:Q23,2)</f>
        <v>שלישי</v>
      </c>
      <c r="G17" s="14">
        <f ca="1">IFERROR(VLOOKUP(E17,'דוח ביצוע'!B:D,3,0),0)</f>
        <v>0</v>
      </c>
      <c r="H17" s="14">
        <f ca="1">IFERROR(VLOOKUP(E17,'דוח ביצוע'!B:E,4,0),0)</f>
        <v>0</v>
      </c>
      <c r="I17" s="35">
        <f ca="1">IFERROR(24*(H17-G17),0)</f>
        <v>0</v>
      </c>
      <c r="J17" s="14" t="str">
        <f ca="1">IFERROR(VLOOKUP(E17,'דוח ביצוע'!$B$3:$G$36,6,0),"")</f>
        <v/>
      </c>
      <c r="K17" s="14" t="str">
        <f ca="1">IFERROR(VLOOKUP(E17,'דוח ביצוע'!$B$3:$H$36,7,0),"")</f>
        <v/>
      </c>
      <c r="L17" s="35">
        <f t="shared" ca="1" si="0"/>
        <v>0</v>
      </c>
      <c r="M17" s="16"/>
      <c r="N17" s="17"/>
    </row>
    <row r="18" spans="1:14" ht="18" customHeight="1" x14ac:dyDescent="0.2">
      <c r="A18" s="11"/>
      <c r="B18" s="11">
        <v>10</v>
      </c>
      <c r="C18" s="11"/>
      <c r="E18" s="12">
        <f t="shared" si="1"/>
        <v>44237</v>
      </c>
      <c r="F18" s="13" t="str">
        <f>VLOOKUP(MOD(E18,7),$P$9:Q24,2)</f>
        <v>רביעי</v>
      </c>
      <c r="G18" s="14">
        <f ca="1">IFERROR(VLOOKUP(E18,'דוח ביצוע'!B:D,3,0),0)</f>
        <v>0</v>
      </c>
      <c r="H18" s="14">
        <f ca="1">IFERROR(VLOOKUP(E18,'דוח ביצוע'!B:E,4,0),0)</f>
        <v>0</v>
      </c>
      <c r="I18" s="35">
        <f ca="1">IFERROR(24*(H18-G18),0)</f>
        <v>0</v>
      </c>
      <c r="J18" s="14" t="str">
        <f ca="1">IFERROR(VLOOKUP(E18,'דוח ביצוע'!$B$3:$G$36,6,0),"")</f>
        <v/>
      </c>
      <c r="K18" s="14" t="str">
        <f ca="1">IFERROR(VLOOKUP(E18,'דוח ביצוע'!$B$3:$H$36,7,0),"")</f>
        <v/>
      </c>
      <c r="L18" s="35">
        <f t="shared" ca="1" si="0"/>
        <v>0</v>
      </c>
      <c r="M18" s="16"/>
      <c r="N18" s="17"/>
    </row>
    <row r="19" spans="1:14" ht="18" customHeight="1" x14ac:dyDescent="0.2">
      <c r="A19" s="11"/>
      <c r="B19" s="11">
        <v>11</v>
      </c>
      <c r="C19" s="11"/>
      <c r="E19" s="12">
        <f t="shared" si="1"/>
        <v>44238</v>
      </c>
      <c r="F19" s="13" t="str">
        <f>VLOOKUP(MOD(E19,7),$P$9:Q25,2)</f>
        <v>חמישי</v>
      </c>
      <c r="G19" s="14">
        <f ca="1">IFERROR(VLOOKUP(E19,'דוח ביצוע'!B:D,3,0),0)</f>
        <v>0</v>
      </c>
      <c r="H19" s="14">
        <f ca="1">IFERROR(VLOOKUP(E19,'דוח ביצוע'!B:E,4,0),0)</f>
        <v>0</v>
      </c>
      <c r="I19" s="35">
        <f ca="1">IFERROR(24*(H19-G19),0)</f>
        <v>0</v>
      </c>
      <c r="J19" s="14" t="str">
        <f ca="1">IFERROR(VLOOKUP(E19,'דוח ביצוע'!$B$3:$G$36,6,0),"")</f>
        <v/>
      </c>
      <c r="K19" s="14" t="str">
        <f ca="1">IFERROR(VLOOKUP(E19,'דוח ביצוע'!$B$3:$H$36,7,0),"")</f>
        <v/>
      </c>
      <c r="L19" s="35">
        <f t="shared" ca="1" si="0"/>
        <v>0</v>
      </c>
      <c r="M19" s="16"/>
      <c r="N19" s="17"/>
    </row>
    <row r="20" spans="1:14" ht="18" customHeight="1" x14ac:dyDescent="0.2">
      <c r="A20" s="11"/>
      <c r="B20" s="11">
        <v>12</v>
      </c>
      <c r="C20" s="11"/>
      <c r="E20" s="12">
        <f t="shared" si="1"/>
        <v>44239</v>
      </c>
      <c r="F20" s="13" t="str">
        <f>VLOOKUP(MOD(E20,7),$P$9:Q26,2)</f>
        <v>שישי</v>
      </c>
      <c r="G20" s="14"/>
      <c r="H20" s="14"/>
      <c r="I20" s="35">
        <f t="shared" si="2"/>
        <v>0</v>
      </c>
      <c r="J20" s="14" t="str">
        <f ca="1">IFERROR(VLOOKUP(E20,'דוח ביצוע'!$B$3:$G$36,6,0),"")</f>
        <v/>
      </c>
      <c r="K20" s="14" t="str">
        <f ca="1">IFERROR(VLOOKUP(E20,'דוח ביצוע'!$B$3:$H$36,7,0),"")</f>
        <v/>
      </c>
      <c r="L20" s="35">
        <f t="shared" ca="1" si="0"/>
        <v>0</v>
      </c>
      <c r="M20" s="16"/>
      <c r="N20" s="17"/>
    </row>
    <row r="21" spans="1:14" ht="18" customHeight="1" x14ac:dyDescent="0.2">
      <c r="A21" s="11"/>
      <c r="B21" s="11">
        <v>13</v>
      </c>
      <c r="C21" s="11"/>
      <c r="E21" s="12">
        <f t="shared" si="1"/>
        <v>44240</v>
      </c>
      <c r="F21" s="13" t="str">
        <f>VLOOKUP(MOD(E21,7),$P$9:Q27,2)</f>
        <v>שבת</v>
      </c>
      <c r="G21" s="14"/>
      <c r="H21" s="14"/>
      <c r="I21" s="35">
        <f t="shared" si="2"/>
        <v>0</v>
      </c>
      <c r="J21" s="14" t="str">
        <f ca="1">IFERROR(VLOOKUP(E21,'דוח ביצוע'!$B$3:$G$36,6,0),"")</f>
        <v/>
      </c>
      <c r="K21" s="14" t="str">
        <f ca="1">IFERROR(VLOOKUP(E21,'דוח ביצוע'!$B$3:$H$36,7,0),"")</f>
        <v/>
      </c>
      <c r="L21" s="35">
        <f t="shared" ca="1" si="0"/>
        <v>0</v>
      </c>
      <c r="M21" s="16"/>
      <c r="N21" s="17"/>
    </row>
    <row r="22" spans="1:14" ht="18" customHeight="1" x14ac:dyDescent="0.2">
      <c r="A22" s="11"/>
      <c r="B22" s="11">
        <v>14</v>
      </c>
      <c r="C22" s="11"/>
      <c r="E22" s="12">
        <f t="shared" si="1"/>
        <v>44241</v>
      </c>
      <c r="F22" s="13" t="str">
        <f>VLOOKUP(MOD(E22,7),$P$9:Q28,2)</f>
        <v>ראשון</v>
      </c>
      <c r="G22" s="14">
        <f ca="1">IFERROR(VLOOKUP(E22,'דוח ביצוע'!B:D,3,0),0)</f>
        <v>0</v>
      </c>
      <c r="H22" s="14">
        <f ca="1">IFERROR(VLOOKUP(E22,'דוח ביצוע'!B:E,4,0),0)</f>
        <v>0</v>
      </c>
      <c r="I22" s="35">
        <f ca="1">IFERROR(24*(H22-G22),0)</f>
        <v>0</v>
      </c>
      <c r="J22" s="14" t="str">
        <f ca="1">IFERROR(VLOOKUP(E22,'דוח ביצוע'!$B$3:$G$36,6,0),"")</f>
        <v/>
      </c>
      <c r="K22" s="14" t="str">
        <f ca="1">IFERROR(VLOOKUP(E22,'דוח ביצוע'!$B$3:$H$36,7,0),"")</f>
        <v/>
      </c>
      <c r="L22" s="35">
        <f t="shared" ca="1" si="0"/>
        <v>0</v>
      </c>
      <c r="M22" s="16"/>
      <c r="N22" s="17"/>
    </row>
    <row r="23" spans="1:14" ht="18" customHeight="1" x14ac:dyDescent="0.2">
      <c r="A23" s="11"/>
      <c r="B23" s="11">
        <v>15</v>
      </c>
      <c r="C23" s="11"/>
      <c r="E23" s="12">
        <f t="shared" si="1"/>
        <v>44242</v>
      </c>
      <c r="F23" s="13" t="str">
        <f>VLOOKUP(MOD(E23,7),$P$9:Q29,2)</f>
        <v>שני</v>
      </c>
      <c r="G23" s="14">
        <f ca="1">IFERROR(VLOOKUP(E23,'דוח ביצוע'!B:D,3,0),0)</f>
        <v>0</v>
      </c>
      <c r="H23" s="14">
        <f ca="1">IFERROR(VLOOKUP(E23,'דוח ביצוע'!B:E,4,0),0)</f>
        <v>0</v>
      </c>
      <c r="I23" s="35">
        <f ca="1">IFERROR(24*(H23-G23),0)</f>
        <v>0</v>
      </c>
      <c r="J23" s="14" t="str">
        <f ca="1">IFERROR(VLOOKUP(E23,'דוח ביצוע'!$B$3:$G$36,6,0),"")</f>
        <v/>
      </c>
      <c r="K23" s="14" t="str">
        <f ca="1">IFERROR(VLOOKUP(E23,'דוח ביצוע'!$B$3:$H$36,7,0),"")</f>
        <v/>
      </c>
      <c r="L23" s="35">
        <f t="shared" ca="1" si="0"/>
        <v>0</v>
      </c>
      <c r="M23" s="16"/>
      <c r="N23" s="17"/>
    </row>
    <row r="24" spans="1:14" ht="18" customHeight="1" x14ac:dyDescent="0.2">
      <c r="A24" s="11"/>
      <c r="B24" s="11">
        <v>16</v>
      </c>
      <c r="C24" s="11"/>
      <c r="E24" s="12">
        <f t="shared" si="1"/>
        <v>44243</v>
      </c>
      <c r="F24" s="13" t="str">
        <f>VLOOKUP(MOD(E24,7),$P$9:Q30,2)</f>
        <v>שלישי</v>
      </c>
      <c r="G24" s="14">
        <f ca="1">IFERROR(VLOOKUP(E24,'דוח ביצוע'!B:D,3,0),0)</f>
        <v>0</v>
      </c>
      <c r="H24" s="14">
        <f ca="1">IFERROR(VLOOKUP(E24,'דוח ביצוע'!B:E,4,0),0)</f>
        <v>0</v>
      </c>
      <c r="I24" s="35">
        <f ca="1">IFERROR(24*(H24-G24),0)</f>
        <v>0</v>
      </c>
      <c r="J24" s="14" t="str">
        <f ca="1">IFERROR(VLOOKUP(E24,'דוח ביצוע'!$B$3:$G$36,6,0),"")</f>
        <v/>
      </c>
      <c r="K24" s="14" t="str">
        <f ca="1">IFERROR(VLOOKUP(E24,'דוח ביצוע'!$B$3:$H$36,7,0),"")</f>
        <v/>
      </c>
      <c r="L24" s="35">
        <f t="shared" ca="1" si="0"/>
        <v>0</v>
      </c>
      <c r="M24" s="16"/>
      <c r="N24" s="17"/>
    </row>
    <row r="25" spans="1:14" ht="18" customHeight="1" x14ac:dyDescent="0.2">
      <c r="A25" s="11"/>
      <c r="B25" s="11">
        <v>17</v>
      </c>
      <c r="C25" s="11"/>
      <c r="E25" s="12">
        <f t="shared" si="1"/>
        <v>44244</v>
      </c>
      <c r="F25" s="13" t="str">
        <f>VLOOKUP(MOD(E25,7),$P$9:Q31,2)</f>
        <v>רביעי</v>
      </c>
      <c r="G25" s="14">
        <f ca="1">IFERROR(VLOOKUP(E25,'דוח ביצוע'!B:D,3,0),0)</f>
        <v>0</v>
      </c>
      <c r="H25" s="14">
        <f ca="1">IFERROR(VLOOKUP(E25,'דוח ביצוע'!B:E,4,0),0)</f>
        <v>0</v>
      </c>
      <c r="I25" s="35">
        <f ca="1">IFERROR(24*(H25-G25),0)</f>
        <v>0</v>
      </c>
      <c r="J25" s="14" t="str">
        <f ca="1">IFERROR(VLOOKUP(E25,'דוח ביצוע'!$B$3:$G$36,6,0),"")</f>
        <v/>
      </c>
      <c r="K25" s="14" t="str">
        <f ca="1">IFERROR(VLOOKUP(E25,'דוח ביצוע'!$B$3:$H$36,7,0),"")</f>
        <v/>
      </c>
      <c r="L25" s="35">
        <f t="shared" ca="1" si="0"/>
        <v>0</v>
      </c>
      <c r="M25" s="16"/>
      <c r="N25" s="17"/>
    </row>
    <row r="26" spans="1:14" ht="18" customHeight="1" x14ac:dyDescent="0.2">
      <c r="A26" s="11"/>
      <c r="B26" s="11">
        <v>18</v>
      </c>
      <c r="C26" s="11"/>
      <c r="E26" s="12">
        <f t="shared" si="1"/>
        <v>44245</v>
      </c>
      <c r="F26" s="13" t="str">
        <f>VLOOKUP(MOD(E26,7),$P$9:Q32,2)</f>
        <v>חמישי</v>
      </c>
      <c r="G26" s="14">
        <f ca="1">IFERROR(VLOOKUP(E26,'דוח ביצוע'!B:D,3,0),0)</f>
        <v>0</v>
      </c>
      <c r="H26" s="14">
        <f ca="1">IFERROR(VLOOKUP(E26,'דוח ביצוע'!B:E,4,0),0)</f>
        <v>0</v>
      </c>
      <c r="I26" s="35">
        <f ca="1">IFERROR(24*(H26-G26),0)</f>
        <v>0</v>
      </c>
      <c r="J26" s="14" t="str">
        <f ca="1">IFERROR(VLOOKUP(E26,'דוח ביצוע'!$B$3:$G$36,6,0),"")</f>
        <v/>
      </c>
      <c r="K26" s="14" t="str">
        <f ca="1">IFERROR(VLOOKUP(E26,'דוח ביצוע'!$B$3:$H$36,7,0),"")</f>
        <v/>
      </c>
      <c r="L26" s="35">
        <f t="shared" ca="1" si="0"/>
        <v>0</v>
      </c>
      <c r="M26" s="16"/>
      <c r="N26" s="17"/>
    </row>
    <row r="27" spans="1:14" ht="18" customHeight="1" x14ac:dyDescent="0.2">
      <c r="A27" s="11"/>
      <c r="B27" s="11">
        <v>19</v>
      </c>
      <c r="C27" s="11"/>
      <c r="E27" s="12">
        <f t="shared" si="1"/>
        <v>44246</v>
      </c>
      <c r="F27" s="13" t="str">
        <f>VLOOKUP(MOD(E27,7),$P$9:Q33,2)</f>
        <v>שישי</v>
      </c>
      <c r="G27" s="14"/>
      <c r="H27" s="14"/>
      <c r="I27" s="35">
        <f t="shared" si="2"/>
        <v>0</v>
      </c>
      <c r="J27" s="14" t="str">
        <f ca="1">IFERROR(VLOOKUP(E27,'דוח ביצוע'!$B$3:$G$36,6,0),"")</f>
        <v/>
      </c>
      <c r="K27" s="14" t="str">
        <f ca="1">IFERROR(VLOOKUP(E27,'דוח ביצוע'!$B$3:$H$36,7,0),"")</f>
        <v/>
      </c>
      <c r="L27" s="35">
        <f t="shared" ca="1" si="0"/>
        <v>0</v>
      </c>
      <c r="M27" s="16"/>
      <c r="N27" s="17"/>
    </row>
    <row r="28" spans="1:14" ht="18" customHeight="1" x14ac:dyDescent="0.2">
      <c r="A28" s="11"/>
      <c r="B28" s="11">
        <v>20</v>
      </c>
      <c r="C28" s="11"/>
      <c r="E28" s="12">
        <f t="shared" si="1"/>
        <v>44247</v>
      </c>
      <c r="F28" s="13" t="str">
        <f>VLOOKUP(MOD(E28,7),$P$9:Q34,2)</f>
        <v>שבת</v>
      </c>
      <c r="G28" s="14"/>
      <c r="H28" s="14"/>
      <c r="I28" s="35">
        <f t="shared" si="2"/>
        <v>0</v>
      </c>
      <c r="J28" s="14" t="str">
        <f ca="1">IFERROR(VLOOKUP(E28,'דוח ביצוע'!$B$3:$G$36,6,0),"")</f>
        <v/>
      </c>
      <c r="K28" s="14" t="str">
        <f ca="1">IFERROR(VLOOKUP(E28,'דוח ביצוע'!$B$3:$H$36,7,0),"")</f>
        <v/>
      </c>
      <c r="L28" s="35">
        <f t="shared" ca="1" si="0"/>
        <v>0</v>
      </c>
      <c r="M28" s="16"/>
      <c r="N28" s="17"/>
    </row>
    <row r="29" spans="1:14" ht="18" customHeight="1" x14ac:dyDescent="0.2">
      <c r="A29" s="11"/>
      <c r="B29" s="11">
        <v>21</v>
      </c>
      <c r="C29" s="11"/>
      <c r="E29" s="12">
        <f t="shared" si="1"/>
        <v>44248</v>
      </c>
      <c r="F29" s="13" t="str">
        <f>VLOOKUP(MOD(E29,7),$P$9:Q35,2)</f>
        <v>ראשון</v>
      </c>
      <c r="G29" s="14">
        <f ca="1">IFERROR(VLOOKUP(E29,'דוח ביצוע'!B:D,3,0),0)</f>
        <v>0</v>
      </c>
      <c r="H29" s="14">
        <f ca="1">IFERROR(VLOOKUP(E29,'דוח ביצוע'!B:E,4,0),0)</f>
        <v>0</v>
      </c>
      <c r="I29" s="35">
        <f t="shared" ref="I29:I34" ca="1" si="3">IFERROR(24*(H29-G29),0)</f>
        <v>0</v>
      </c>
      <c r="J29" s="14" t="str">
        <f ca="1">IFERROR(VLOOKUP(E29,'דוח ביצוע'!$B$3:$G$36,6,0),"")</f>
        <v/>
      </c>
      <c r="K29" s="14" t="str">
        <f ca="1">IFERROR(VLOOKUP(E29,'דוח ביצוע'!$B$3:$H$36,7,0),"")</f>
        <v/>
      </c>
      <c r="L29" s="35">
        <f t="shared" ca="1" si="0"/>
        <v>0</v>
      </c>
      <c r="M29" s="16"/>
      <c r="N29" s="17"/>
    </row>
    <row r="30" spans="1:14" ht="18" customHeight="1" x14ac:dyDescent="0.2">
      <c r="A30" s="11"/>
      <c r="B30" s="11">
        <v>22</v>
      </c>
      <c r="C30" s="11"/>
      <c r="E30" s="12">
        <f t="shared" si="1"/>
        <v>44249</v>
      </c>
      <c r="F30" s="13" t="str">
        <f>VLOOKUP(MOD(E30,7),$P$9:Q36,2)</f>
        <v>שני</v>
      </c>
      <c r="G30" s="14">
        <f ca="1">IFERROR(VLOOKUP(E30,'דוח ביצוע'!B:D,3,0),0)</f>
        <v>0</v>
      </c>
      <c r="H30" s="14">
        <f ca="1">IFERROR(VLOOKUP(E30,'דוח ביצוע'!B:E,4,0),0)</f>
        <v>0</v>
      </c>
      <c r="I30" s="35">
        <f t="shared" ca="1" si="3"/>
        <v>0</v>
      </c>
      <c r="J30" s="14" t="str">
        <f ca="1">IFERROR(VLOOKUP(E30,'דוח ביצוע'!$B$3:$G$36,6,0),"")</f>
        <v/>
      </c>
      <c r="K30" s="14" t="str">
        <f ca="1">IFERROR(VLOOKUP(E30,'דוח ביצוע'!$B$3:$H$36,7,0),"")</f>
        <v/>
      </c>
      <c r="L30" s="35">
        <f t="shared" ca="1" si="0"/>
        <v>0</v>
      </c>
      <c r="M30" s="16"/>
      <c r="N30" s="17"/>
    </row>
    <row r="31" spans="1:14" ht="18" customHeight="1" x14ac:dyDescent="0.2">
      <c r="A31" s="11"/>
      <c r="B31" s="11">
        <v>23</v>
      </c>
      <c r="C31" s="11"/>
      <c r="E31" s="12">
        <f t="shared" si="1"/>
        <v>44250</v>
      </c>
      <c r="F31" s="13" t="str">
        <f>VLOOKUP(MOD(E31,7),$P$9:Q36,2)</f>
        <v>שלישי</v>
      </c>
      <c r="G31" s="14">
        <f ca="1">IFERROR(VLOOKUP(E31,'דוח ביצוע'!B:D,3,0),0)</f>
        <v>0</v>
      </c>
      <c r="H31" s="14">
        <f ca="1">IFERROR(VLOOKUP(E31,'דוח ביצוע'!B:E,4,0),0)</f>
        <v>0</v>
      </c>
      <c r="I31" s="35">
        <f t="shared" ca="1" si="3"/>
        <v>0</v>
      </c>
      <c r="J31" s="14" t="str">
        <f ca="1">IFERROR(VLOOKUP(E31,'דוח ביצוע'!$B$3:$G$36,6,0),"")</f>
        <v/>
      </c>
      <c r="K31" s="14" t="str">
        <f ca="1">IFERROR(VLOOKUP(E31,'דוח ביצוע'!$B$3:$H$36,7,0),"")</f>
        <v/>
      </c>
      <c r="L31" s="35">
        <f t="shared" ca="1" si="0"/>
        <v>0</v>
      </c>
      <c r="M31" s="16"/>
      <c r="N31" s="17"/>
    </row>
    <row r="32" spans="1:14" ht="18" customHeight="1" x14ac:dyDescent="0.2">
      <c r="A32" s="11"/>
      <c r="B32" s="11">
        <v>24</v>
      </c>
      <c r="C32" s="11"/>
      <c r="E32" s="12">
        <f t="shared" si="1"/>
        <v>44251</v>
      </c>
      <c r="F32" s="13" t="str">
        <f>VLOOKUP(MOD(E32,7),$P$9:Q36,2)</f>
        <v>רביעי</v>
      </c>
      <c r="G32" s="14">
        <f ca="1">IFERROR(VLOOKUP(E32,'דוח ביצוע'!B:D,3,0),0)</f>
        <v>0</v>
      </c>
      <c r="H32" s="14">
        <f ca="1">IFERROR(VLOOKUP(E32,'דוח ביצוע'!B:E,4,0),0)</f>
        <v>0</v>
      </c>
      <c r="I32" s="35">
        <f t="shared" ca="1" si="3"/>
        <v>0</v>
      </c>
      <c r="J32" s="14" t="str">
        <f ca="1">IFERROR(VLOOKUP(E32,'דוח ביצוע'!$B$3:$G$36,6,0),"")</f>
        <v/>
      </c>
      <c r="K32" s="14" t="str">
        <f ca="1">IFERROR(VLOOKUP(E32,'דוח ביצוע'!$B$3:$H$36,7,0),"")</f>
        <v/>
      </c>
      <c r="L32" s="35">
        <f ca="1">IFERROR(24*(K32-'דוח ביצוע'!G29),0)</f>
        <v>0</v>
      </c>
      <c r="M32" s="16"/>
      <c r="N32" s="17"/>
    </row>
    <row r="33" spans="1:16" ht="18" customHeight="1" x14ac:dyDescent="0.2">
      <c r="A33" s="11"/>
      <c r="B33" s="11">
        <v>25</v>
      </c>
      <c r="C33" s="11"/>
      <c r="E33" s="12">
        <f t="shared" si="1"/>
        <v>44252</v>
      </c>
      <c r="F33" s="13" t="str">
        <f>VLOOKUP(MOD(E33,7),$P$9:Q36,2)</f>
        <v>חמישי</v>
      </c>
      <c r="G33" s="14">
        <f ca="1">IFERROR(VLOOKUP(E33,'דוח ביצוע'!B:D,3,0),0)</f>
        <v>0</v>
      </c>
      <c r="H33" s="14">
        <f ca="1">IFERROR(VLOOKUP(E33,'דוח ביצוע'!B:E,4,0),0)</f>
        <v>0</v>
      </c>
      <c r="I33" s="35">
        <f t="shared" ca="1" si="3"/>
        <v>0</v>
      </c>
      <c r="J33" s="14" t="str">
        <f ca="1">IFERROR(VLOOKUP(E33,'דוח ביצוע'!$B$3:$G$36,6,0),"")</f>
        <v/>
      </c>
      <c r="K33" s="14" t="str">
        <f ca="1">IFERROR(VLOOKUP(E33,'דוח ביצוע'!$B$3:$H$36,7,0),"")</f>
        <v/>
      </c>
      <c r="L33" s="35">
        <f ca="1">IFERROR(24*(K33-J33),0)</f>
        <v>0</v>
      </c>
      <c r="M33" s="16"/>
      <c r="N33" s="17"/>
    </row>
    <row r="34" spans="1:16" ht="18" customHeight="1" x14ac:dyDescent="0.2">
      <c r="A34" s="11"/>
      <c r="B34" s="11">
        <v>26</v>
      </c>
      <c r="C34" s="11"/>
      <c r="E34" s="12">
        <f t="shared" si="1"/>
        <v>44253</v>
      </c>
      <c r="F34" s="13" t="str">
        <f>VLOOKUP(MOD(E34,7),$P$9:Q39,2)</f>
        <v>שישי</v>
      </c>
      <c r="G34" s="51"/>
      <c r="H34" s="51"/>
      <c r="I34" s="35">
        <f t="shared" si="3"/>
        <v>0</v>
      </c>
      <c r="J34" s="14" t="str">
        <f ca="1">IFERROR(VLOOKUP(E34,'דוח ביצוע'!$B$3:$G$36,6,0),"")</f>
        <v/>
      </c>
      <c r="K34" s="14" t="str">
        <f ca="1">IFERROR(VLOOKUP(E34,'דוח ביצוע'!$B$3:$H$36,7,0),"")</f>
        <v/>
      </c>
      <c r="L34" s="35">
        <f ca="1">IFERROR(24*(K34-J34),0)</f>
        <v>0</v>
      </c>
      <c r="M34" s="16"/>
      <c r="N34" s="17"/>
    </row>
    <row r="35" spans="1:16" ht="18" customHeight="1" x14ac:dyDescent="0.2">
      <c r="A35" s="11"/>
      <c r="B35" s="11">
        <v>27</v>
      </c>
      <c r="C35" s="11"/>
      <c r="E35" s="12">
        <f t="shared" si="1"/>
        <v>44254</v>
      </c>
      <c r="F35" s="13" t="str">
        <f>VLOOKUP(MOD(E35,7),$P$9:Q39,2)</f>
        <v>שבת</v>
      </c>
      <c r="G35" s="14"/>
      <c r="H35" s="14"/>
      <c r="I35" s="35">
        <f t="shared" si="2"/>
        <v>0</v>
      </c>
      <c r="J35" s="14" t="str">
        <f ca="1">IFERROR(VLOOKUP(E35,'דוח ביצוע'!$B$3:$G$36,6,0),"")</f>
        <v/>
      </c>
      <c r="K35" s="14" t="str">
        <f ca="1">IFERROR(VLOOKUP(E35,'דוח ביצוע'!$B$3:$H$36,7,0),"")</f>
        <v/>
      </c>
      <c r="L35" s="35">
        <f ca="1">IFERROR(24*(K35-J35),0)</f>
        <v>0</v>
      </c>
      <c r="M35" s="16"/>
      <c r="N35" s="17"/>
    </row>
    <row r="36" spans="1:16" ht="18" customHeight="1" x14ac:dyDescent="0.2">
      <c r="A36" s="11"/>
      <c r="B36" s="11">
        <v>28</v>
      </c>
      <c r="C36" s="11"/>
      <c r="E36" s="12">
        <f t="shared" si="1"/>
        <v>44255</v>
      </c>
      <c r="F36" s="13" t="str">
        <f>VLOOKUP(MOD(E36,7),$P$9:Q39,2)</f>
        <v>ראשון</v>
      </c>
      <c r="G36" s="14">
        <f ca="1">IFERROR(VLOOKUP(E36,'דוח ביצוע'!B:D,3,0),0)</f>
        <v>0</v>
      </c>
      <c r="H36" s="14">
        <f ca="1">IFERROR(VLOOKUP(E36,'דוח ביצוע'!B:E,4,0),0)</f>
        <v>0</v>
      </c>
      <c r="I36" s="35">
        <f ca="1">IFERROR(24*(H36-G36),0)</f>
        <v>0</v>
      </c>
      <c r="J36" s="14" t="str">
        <f ca="1">IFERROR(VLOOKUP(E36,'דוח ביצוע'!$B$3:$G$36,6,0),"")</f>
        <v/>
      </c>
      <c r="K36" s="14" t="str">
        <f ca="1">IFERROR(VLOOKUP(E36,'דוח ביצוע'!$B$3:$H$36,7,0),"")</f>
        <v/>
      </c>
      <c r="L36" s="35">
        <f ca="1">IFERROR(24*(K36-J36),0)</f>
        <v>0</v>
      </c>
      <c r="M36" s="16"/>
      <c r="N36" s="17"/>
      <c r="P36" s="19"/>
    </row>
    <row r="37" spans="1:16" ht="18" customHeight="1" x14ac:dyDescent="0.2">
      <c r="E37" s="21"/>
      <c r="F37" s="22"/>
      <c r="G37" s="23"/>
      <c r="H37" s="23"/>
      <c r="I37" s="24"/>
      <c r="J37" s="23"/>
      <c r="K37" s="23"/>
      <c r="L37" s="24"/>
      <c r="M37" s="25"/>
      <c r="N37" s="10"/>
    </row>
    <row r="38" spans="1:16" ht="18" customHeight="1" x14ac:dyDescent="0.2">
      <c r="F38" s="22"/>
      <c r="G38" s="23"/>
      <c r="H38" s="23"/>
      <c r="I38" s="24"/>
      <c r="J38" s="23"/>
      <c r="K38" s="23"/>
      <c r="L38" s="24"/>
      <c r="M38" s="25"/>
      <c r="N38" s="10"/>
    </row>
    <row r="39" spans="1:16" s="2" customFormat="1" ht="24.95" customHeight="1" x14ac:dyDescent="0.2">
      <c r="G39" s="146" t="s">
        <v>22</v>
      </c>
      <c r="H39" s="147"/>
      <c r="I39" s="36">
        <f ca="1">SUM(I9:I36)</f>
        <v>0</v>
      </c>
      <c r="L39" s="148" t="s">
        <v>23</v>
      </c>
      <c r="M39" s="149"/>
      <c r="N39" s="27"/>
      <c r="O39" s="28"/>
    </row>
    <row r="40" spans="1:16" s="2" customFormat="1" ht="24.95" customHeight="1" x14ac:dyDescent="0.15">
      <c r="G40" s="146" t="s">
        <v>24</v>
      </c>
      <c r="H40" s="147"/>
      <c r="I40" s="26">
        <f ca="1">SUM(L9:L36)</f>
        <v>0</v>
      </c>
      <c r="L40" s="148" t="s">
        <v>25</v>
      </c>
      <c r="M40" s="149"/>
      <c r="N40" s="17"/>
      <c r="O40" s="28"/>
    </row>
    <row r="41" spans="1:16" s="2" customFormat="1" ht="24.95" customHeight="1" x14ac:dyDescent="0.15">
      <c r="G41" s="146" t="s">
        <v>26</v>
      </c>
      <c r="H41" s="147"/>
      <c r="I41" s="29">
        <f>COUNTA(M9:M36)</f>
        <v>0</v>
      </c>
      <c r="L41" s="148" t="s">
        <v>27</v>
      </c>
      <c r="M41" s="149"/>
      <c r="N41" s="17"/>
      <c r="O41" s="28"/>
    </row>
    <row r="42" spans="1:16" ht="18" customHeight="1" x14ac:dyDescent="0.2"/>
  </sheetData>
  <autoFilter ref="E8:N36" xr:uid="{00000000-0009-0000-0000-000004000000}"/>
  <mergeCells count="10">
    <mergeCell ref="I3:K3"/>
    <mergeCell ref="I4:K4"/>
    <mergeCell ref="G7:I7"/>
    <mergeCell ref="J7:L7"/>
    <mergeCell ref="G41:H41"/>
    <mergeCell ref="L41:M41"/>
    <mergeCell ref="G39:H39"/>
    <mergeCell ref="L39:M39"/>
    <mergeCell ref="G40:H40"/>
    <mergeCell ref="L40:M40"/>
  </mergeCells>
  <dataValidations count="5">
    <dataValidation type="whole" allowBlank="1" showInputMessage="1" showErrorMessage="1" sqref="F5" xr:uid="{00000000-0002-0000-0400-000000000000}">
      <formula1>150</formula1>
      <formula2>216</formula2>
    </dataValidation>
    <dataValidation type="whole" allowBlank="1" showInputMessage="1" showErrorMessage="1" sqref="F4" xr:uid="{00000000-0002-0000-0400-000001000000}">
      <formula1>1</formula1>
      <formula2>12</formula2>
    </dataValidation>
    <dataValidation type="whole" allowBlank="1" showInputMessage="1" showErrorMessage="1" sqref="F3" xr:uid="{00000000-0002-0000-0400-000002000000}">
      <formula1>2002</formula1>
      <formula2>2100</formula2>
    </dataValidation>
    <dataValidation type="time" allowBlank="1" showInputMessage="1" showErrorMessage="1" sqref="J37:K38 G37:H38" xr:uid="{00000000-0002-0000-0400-000003000000}">
      <formula1>0</formula1>
      <formula2>0.999305555555556</formula2>
    </dataValidation>
    <dataValidation type="list" allowBlank="1" showInputMessage="1" showErrorMessage="1" sqref="M9:M38" xr:uid="{00000000-0002-0000-0400-000004000000}">
      <formula1>$R$9:$R$10</formula1>
    </dataValidation>
  </dataValidations>
  <pageMargins left="0.7" right="0.7" top="0.75" bottom="0.75" header="0.3" footer="0.3"/>
  <pageSetup scale="73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גיליון4">
    <pageSetUpPr fitToPage="1"/>
  </sheetPr>
  <dimension ref="A1:R45"/>
  <sheetViews>
    <sheetView rightToLeft="1" topLeftCell="D1" zoomScaleNormal="100" workbookViewId="0">
      <selection activeCell="M21" sqref="M21"/>
    </sheetView>
  </sheetViews>
  <sheetFormatPr defaultColWidth="9.140625" defaultRowHeight="12.75" x14ac:dyDescent="0.2"/>
  <cols>
    <col min="1" max="3" width="3.42578125" style="1" hidden="1" customWidth="1"/>
    <col min="4" max="4" width="2.85546875" style="1" customWidth="1"/>
    <col min="5" max="5" width="12.28515625" style="1" customWidth="1"/>
    <col min="6" max="6" width="14.5703125" style="1" bestFit="1" customWidth="1"/>
    <col min="7" max="7" width="16" style="1" bestFit="1" customWidth="1"/>
    <col min="8" max="8" width="11.140625" style="1" customWidth="1"/>
    <col min="9" max="12" width="8.7109375" style="1" customWidth="1"/>
    <col min="13" max="13" width="11.7109375" style="1" customWidth="1"/>
    <col min="14" max="14" width="19.42578125" style="1" customWidth="1"/>
    <col min="15" max="15" width="2.28515625" style="1" hidden="1" customWidth="1"/>
    <col min="16" max="16" width="2.42578125" style="1" hidden="1" customWidth="1"/>
    <col min="17" max="17" width="8.28515625" style="1" hidden="1" customWidth="1"/>
    <col min="18" max="18" width="2.5703125" style="1" hidden="1" customWidth="1"/>
    <col min="19" max="19" width="0" style="1" hidden="1" customWidth="1"/>
    <col min="20" max="16384" width="9.140625" style="1"/>
  </cols>
  <sheetData>
    <row r="1" spans="1:18" ht="15.95" customHeight="1" x14ac:dyDescent="0.2"/>
    <row r="2" spans="1:18" ht="15.95" customHeight="1" x14ac:dyDescent="0.2"/>
    <row r="3" spans="1:18" s="2" customFormat="1" ht="21.95" customHeight="1" x14ac:dyDescent="0.2">
      <c r="E3" s="3" t="s">
        <v>0</v>
      </c>
      <c r="F3" s="4">
        <v>2021</v>
      </c>
      <c r="H3" s="3" t="s">
        <v>1</v>
      </c>
      <c r="I3" s="150"/>
      <c r="J3" s="151"/>
      <c r="K3" s="152"/>
    </row>
    <row r="4" spans="1:18" s="2" customFormat="1" ht="21.95" customHeight="1" x14ac:dyDescent="0.2">
      <c r="E4" s="3" t="s">
        <v>2</v>
      </c>
      <c r="F4" s="4">
        <v>3</v>
      </c>
      <c r="H4" s="3" t="s">
        <v>3</v>
      </c>
      <c r="I4" s="150"/>
      <c r="J4" s="151"/>
      <c r="K4" s="152"/>
    </row>
    <row r="5" spans="1:18" s="2" customFormat="1" ht="21.95" customHeight="1" x14ac:dyDescent="0.2">
      <c r="E5" s="5" t="s">
        <v>4</v>
      </c>
      <c r="F5" s="4"/>
      <c r="H5" s="6"/>
      <c r="I5" s="7"/>
      <c r="J5" s="7"/>
      <c r="K5" s="7"/>
    </row>
    <row r="6" spans="1:18" ht="18" customHeight="1" x14ac:dyDescent="0.2"/>
    <row r="7" spans="1:18" ht="18" customHeight="1" x14ac:dyDescent="0.2">
      <c r="G7" s="153" t="s">
        <v>5</v>
      </c>
      <c r="H7" s="153"/>
      <c r="I7" s="153"/>
      <c r="J7" s="153" t="s">
        <v>6</v>
      </c>
      <c r="K7" s="153"/>
      <c r="L7" s="153"/>
    </row>
    <row r="8" spans="1:18" ht="34.5" x14ac:dyDescent="0.2">
      <c r="E8" s="8" t="s">
        <v>7</v>
      </c>
      <c r="F8" s="8" t="s">
        <v>8</v>
      </c>
      <c r="G8" s="8" t="s">
        <v>9</v>
      </c>
      <c r="H8" s="8" t="s">
        <v>10</v>
      </c>
      <c r="I8" s="8" t="s">
        <v>11</v>
      </c>
      <c r="J8" s="8" t="s">
        <v>9</v>
      </c>
      <c r="K8" s="8" t="s">
        <v>10</v>
      </c>
      <c r="L8" s="8" t="s">
        <v>11</v>
      </c>
      <c r="M8" s="8" t="s">
        <v>12</v>
      </c>
      <c r="N8" s="8" t="s">
        <v>13</v>
      </c>
      <c r="Q8" s="9" t="s">
        <v>8</v>
      </c>
      <c r="R8" s="10"/>
    </row>
    <row r="9" spans="1:18" ht="18" customHeight="1" x14ac:dyDescent="0.2">
      <c r="A9" s="11"/>
      <c r="B9" s="11">
        <v>1</v>
      </c>
      <c r="C9" s="11"/>
      <c r="E9" s="12">
        <f>DATE($F$3,$F$4,B9)</f>
        <v>44256</v>
      </c>
      <c r="F9" s="13" t="str">
        <f>VLOOKUP(MOD(E9,7),$P$9:Q15,2)</f>
        <v>שני</v>
      </c>
      <c r="G9" s="14">
        <f ca="1">IFERROR(VLOOKUP(E9,'דוח ביצוע'!B:D,3,0),0)</f>
        <v>0</v>
      </c>
      <c r="H9" s="14">
        <f ca="1">IFERROR(VLOOKUP(E9,'דוח ביצוע'!B:E,4,0),0)</f>
        <v>0</v>
      </c>
      <c r="I9" s="35">
        <f ca="1">IFERROR(24*(H9-G9),0)</f>
        <v>0</v>
      </c>
      <c r="J9" s="14" t="str">
        <f ca="1">IFERROR(VLOOKUP(E9,'דוח ביצוע'!$B$3:$G$36,6,0),"")</f>
        <v/>
      </c>
      <c r="K9" s="14" t="str">
        <f ca="1">IFERROR(VLOOKUP(E9,'דוח ביצוע'!$B$3:$H$36,7,0),"")</f>
        <v/>
      </c>
      <c r="L9" s="35">
        <f ca="1">IFERROR(24*(K9-J9),0)</f>
        <v>0</v>
      </c>
      <c r="M9" s="16"/>
      <c r="N9" s="17"/>
      <c r="P9" s="1">
        <v>0</v>
      </c>
      <c r="Q9" s="1" t="s">
        <v>14</v>
      </c>
      <c r="R9" s="18" t="s">
        <v>15</v>
      </c>
    </row>
    <row r="10" spans="1:18" ht="18" customHeight="1" x14ac:dyDescent="0.2">
      <c r="A10" s="11"/>
      <c r="B10" s="11">
        <v>2</v>
      </c>
      <c r="C10" s="11"/>
      <c r="E10" s="12">
        <f t="shared" ref="E10:E36" si="0">DATE($F$3,$F$4,B10)</f>
        <v>44257</v>
      </c>
      <c r="F10" s="13" t="str">
        <f>VLOOKUP(MOD(E10,7),$P$9:Q16,2)</f>
        <v>שלישי</v>
      </c>
      <c r="G10" s="14">
        <f ca="1">IFERROR(VLOOKUP(E10,'דוח ביצוע'!B:D,3,0),0)</f>
        <v>0</v>
      </c>
      <c r="H10" s="14">
        <f ca="1">IFERROR(VLOOKUP(E10,'דוח ביצוע'!B:E,4,0),0)</f>
        <v>0</v>
      </c>
      <c r="I10" s="35">
        <f t="shared" ref="I10:I39" ca="1" si="1">IFERROR(24*(H10-G10),0)</f>
        <v>0</v>
      </c>
      <c r="J10" s="14" t="str">
        <f ca="1">IFERROR(VLOOKUP(E10,'דוח ביצוע'!$B$3:$G$36,6,0),"")</f>
        <v/>
      </c>
      <c r="K10" s="14" t="str">
        <f ca="1">IFERROR(VLOOKUP(E10,'דוח ביצוע'!$B$3:$H$36,7,0),"")</f>
        <v/>
      </c>
      <c r="L10" s="35">
        <f t="shared" ref="L10:L39" ca="1" si="2">IFERROR(24*(K10-J10),0)</f>
        <v>0</v>
      </c>
      <c r="M10" s="16"/>
      <c r="N10" s="17"/>
      <c r="P10" s="1">
        <v>1</v>
      </c>
      <c r="Q10" s="1" t="s">
        <v>16</v>
      </c>
    </row>
    <row r="11" spans="1:18" ht="18" customHeight="1" x14ac:dyDescent="0.2">
      <c r="A11" s="11"/>
      <c r="B11" s="11">
        <v>3</v>
      </c>
      <c r="C11" s="11"/>
      <c r="E11" s="12">
        <f t="shared" si="0"/>
        <v>44258</v>
      </c>
      <c r="F11" s="13" t="str">
        <f>VLOOKUP(MOD(E11,7),$P$9:Q17,2)</f>
        <v>רביעי</v>
      </c>
      <c r="G11" s="14">
        <f ca="1">IFERROR(VLOOKUP(E11,'דוח ביצוע'!B:D,3,0),0)</f>
        <v>0</v>
      </c>
      <c r="H11" s="14">
        <f ca="1">IFERROR(VLOOKUP(E11,'דוח ביצוע'!B:E,4,0),0)</f>
        <v>0</v>
      </c>
      <c r="I11" s="35">
        <f t="shared" ca="1" si="1"/>
        <v>0</v>
      </c>
      <c r="J11" s="14" t="str">
        <f ca="1">IFERROR(VLOOKUP(E11,'דוח ביצוע'!$B$3:$G$36,6,0),"")</f>
        <v/>
      </c>
      <c r="K11" s="14" t="str">
        <f ca="1">IFERROR(VLOOKUP(E11,'דוח ביצוע'!$B$3:$H$36,7,0),"")</f>
        <v/>
      </c>
      <c r="L11" s="35">
        <f t="shared" ca="1" si="2"/>
        <v>0</v>
      </c>
      <c r="M11" s="16"/>
      <c r="N11" s="17"/>
      <c r="P11" s="1">
        <v>2</v>
      </c>
      <c r="Q11" s="1" t="s">
        <v>17</v>
      </c>
    </row>
    <row r="12" spans="1:18" ht="18" customHeight="1" x14ac:dyDescent="0.2">
      <c r="A12" s="11"/>
      <c r="B12" s="11">
        <v>4</v>
      </c>
      <c r="C12" s="11"/>
      <c r="E12" s="12">
        <f t="shared" si="0"/>
        <v>44259</v>
      </c>
      <c r="F12" s="13" t="str">
        <f>VLOOKUP(MOD(E12,7),$P$9:Q18,2)</f>
        <v>חמישי</v>
      </c>
      <c r="G12" s="14">
        <f ca="1">IFERROR(VLOOKUP(E12,'דוח ביצוע'!B:D,3,0),0)</f>
        <v>0</v>
      </c>
      <c r="H12" s="14">
        <f ca="1">IFERROR(VLOOKUP(E12,'דוח ביצוע'!B:E,4,0),0)</f>
        <v>0</v>
      </c>
      <c r="I12" s="35">
        <f t="shared" ca="1" si="1"/>
        <v>0</v>
      </c>
      <c r="J12" s="14" t="str">
        <f ca="1">IFERROR(VLOOKUP(E12,'דוח ביצוע'!$B$3:$G$36,6,0),"")</f>
        <v/>
      </c>
      <c r="K12" s="14" t="str">
        <f ca="1">IFERROR(VLOOKUP(E12,'דוח ביצוע'!$B$3:$H$36,7,0),"")</f>
        <v/>
      </c>
      <c r="L12" s="35">
        <f t="shared" ca="1" si="2"/>
        <v>0</v>
      </c>
      <c r="M12" s="16"/>
      <c r="N12" s="17"/>
      <c r="P12" s="1">
        <v>3</v>
      </c>
      <c r="Q12" s="1" t="s">
        <v>18</v>
      </c>
    </row>
    <row r="13" spans="1:18" ht="18" customHeight="1" x14ac:dyDescent="0.2">
      <c r="A13" s="11"/>
      <c r="B13" s="11">
        <v>5</v>
      </c>
      <c r="C13" s="11"/>
      <c r="E13" s="12">
        <f t="shared" si="0"/>
        <v>44260</v>
      </c>
      <c r="F13" s="13" t="str">
        <f>VLOOKUP(MOD(E13,7),$P$9:Q19,2)</f>
        <v>שישי</v>
      </c>
      <c r="G13" s="14"/>
      <c r="H13" s="14"/>
      <c r="I13" s="35">
        <f t="shared" si="1"/>
        <v>0</v>
      </c>
      <c r="J13" s="14" t="str">
        <f ca="1">IFERROR(VLOOKUP(E13,'דוח ביצוע'!$B$3:$G$36,6,0),"")</f>
        <v/>
      </c>
      <c r="K13" s="14" t="str">
        <f ca="1">IFERROR(VLOOKUP(E13,'דוח ביצוע'!$B$3:$H$36,7,0),"")</f>
        <v/>
      </c>
      <c r="L13" s="35">
        <f t="shared" ca="1" si="2"/>
        <v>0</v>
      </c>
      <c r="M13" s="16"/>
      <c r="N13" s="17"/>
      <c r="P13" s="1">
        <v>4</v>
      </c>
      <c r="Q13" s="1" t="s">
        <v>19</v>
      </c>
    </row>
    <row r="14" spans="1:18" ht="18" customHeight="1" x14ac:dyDescent="0.2">
      <c r="A14" s="11"/>
      <c r="B14" s="11">
        <v>6</v>
      </c>
      <c r="C14" s="11"/>
      <c r="E14" s="12">
        <f t="shared" si="0"/>
        <v>44261</v>
      </c>
      <c r="F14" s="13" t="str">
        <f>VLOOKUP(MOD(E14,7),$P$9:Q20,2)</f>
        <v>שבת</v>
      </c>
      <c r="G14" s="14"/>
      <c r="H14" s="14"/>
      <c r="I14" s="35">
        <f t="shared" si="1"/>
        <v>0</v>
      </c>
      <c r="J14" s="14" t="str">
        <f ca="1">IFERROR(VLOOKUP(E14,'דוח ביצוע'!$B$3:$G$36,6,0),"")</f>
        <v/>
      </c>
      <c r="K14" s="14" t="str">
        <f ca="1">IFERROR(VLOOKUP(E14,'דוח ביצוע'!$B$3:$H$36,7,0),"")</f>
        <v/>
      </c>
      <c r="L14" s="35">
        <f t="shared" ca="1" si="2"/>
        <v>0</v>
      </c>
      <c r="M14" s="16"/>
      <c r="N14" s="17"/>
      <c r="P14" s="1">
        <v>5</v>
      </c>
      <c r="Q14" s="1" t="s">
        <v>20</v>
      </c>
    </row>
    <row r="15" spans="1:18" ht="18" customHeight="1" x14ac:dyDescent="0.2">
      <c r="A15" s="11"/>
      <c r="B15" s="11">
        <v>7</v>
      </c>
      <c r="C15" s="11"/>
      <c r="E15" s="12">
        <f t="shared" si="0"/>
        <v>44262</v>
      </c>
      <c r="F15" s="13" t="str">
        <f>VLOOKUP(MOD(E15,7),$P$9:Q21,2)</f>
        <v>ראשון</v>
      </c>
      <c r="G15" s="14">
        <f ca="1">IFERROR(VLOOKUP(E15,'דוח ביצוע'!B:D,3,0),0)</f>
        <v>0</v>
      </c>
      <c r="H15" s="14">
        <f ca="1">IFERROR(VLOOKUP(E15,'דוח ביצוע'!B:E,4,0),0)</f>
        <v>0</v>
      </c>
      <c r="I15" s="35">
        <f t="shared" ca="1" si="1"/>
        <v>0</v>
      </c>
      <c r="J15" s="14" t="str">
        <f ca="1">IFERROR(VLOOKUP(E15,'דוח ביצוע'!$B$3:$G$36,6,0),"")</f>
        <v/>
      </c>
      <c r="K15" s="14" t="str">
        <f ca="1">IFERROR(VLOOKUP(E15,'דוח ביצוע'!$B$3:$H$36,7,0),"")</f>
        <v/>
      </c>
      <c r="L15" s="35">
        <f t="shared" ca="1" si="2"/>
        <v>0</v>
      </c>
      <c r="M15" s="16"/>
      <c r="N15" s="17"/>
      <c r="P15" s="1">
        <v>6</v>
      </c>
      <c r="Q15" s="1" t="s">
        <v>21</v>
      </c>
    </row>
    <row r="16" spans="1:18" ht="18" customHeight="1" x14ac:dyDescent="0.2">
      <c r="A16" s="11"/>
      <c r="B16" s="11">
        <v>8</v>
      </c>
      <c r="C16" s="11"/>
      <c r="E16" s="12">
        <f t="shared" si="0"/>
        <v>44263</v>
      </c>
      <c r="F16" s="13" t="str">
        <f>VLOOKUP(MOD(E16,7),$P$9:Q22,2)</f>
        <v>שני</v>
      </c>
      <c r="G16" s="14">
        <f ca="1">IFERROR(VLOOKUP(E16,'דוח ביצוע'!B:D,3,0),0)</f>
        <v>0</v>
      </c>
      <c r="H16" s="14">
        <f ca="1">IFERROR(VLOOKUP(E16,'דוח ביצוע'!B:E,4,0),0)</f>
        <v>0</v>
      </c>
      <c r="I16" s="35">
        <f t="shared" ca="1" si="1"/>
        <v>0</v>
      </c>
      <c r="J16" s="14" t="str">
        <f ca="1">IFERROR(VLOOKUP(E16,'דוח ביצוע'!$B$3:$G$36,6,0),"")</f>
        <v/>
      </c>
      <c r="K16" s="14" t="str">
        <f ca="1">IFERROR(VLOOKUP(E16,'דוח ביצוע'!$B$3:$H$36,7,0),"")</f>
        <v/>
      </c>
      <c r="L16" s="35">
        <f t="shared" ca="1" si="2"/>
        <v>0</v>
      </c>
      <c r="M16" s="16"/>
      <c r="N16" s="17"/>
    </row>
    <row r="17" spans="1:14" ht="18" customHeight="1" x14ac:dyDescent="0.2">
      <c r="A17" s="11"/>
      <c r="B17" s="11">
        <v>9</v>
      </c>
      <c r="C17" s="11"/>
      <c r="E17" s="12">
        <f t="shared" si="0"/>
        <v>44264</v>
      </c>
      <c r="F17" s="13" t="str">
        <f>VLOOKUP(MOD(E17,7),$P$9:Q23,2)</f>
        <v>שלישי</v>
      </c>
      <c r="G17" s="14">
        <f ca="1">IFERROR(VLOOKUP(E17,'דוח ביצוע'!B:D,3,0),0)</f>
        <v>0</v>
      </c>
      <c r="H17" s="14">
        <f ca="1">IFERROR(VLOOKUP(E17,'דוח ביצוע'!B:E,4,0),0)</f>
        <v>0</v>
      </c>
      <c r="I17" s="35">
        <f t="shared" ca="1" si="1"/>
        <v>0</v>
      </c>
      <c r="J17" s="14" t="str">
        <f ca="1">IFERROR(VLOOKUP(E17,'דוח ביצוע'!$B$3:$G$36,6,0),"")</f>
        <v/>
      </c>
      <c r="K17" s="14" t="str">
        <f ca="1">IFERROR(VLOOKUP(E17,'דוח ביצוע'!$B$3:$H$36,7,0),"")</f>
        <v/>
      </c>
      <c r="L17" s="35">
        <f t="shared" ca="1" si="2"/>
        <v>0</v>
      </c>
      <c r="M17" s="16"/>
      <c r="N17" s="17"/>
    </row>
    <row r="18" spans="1:14" ht="18" customHeight="1" x14ac:dyDescent="0.2">
      <c r="A18" s="11"/>
      <c r="B18" s="11">
        <v>10</v>
      </c>
      <c r="C18" s="11"/>
      <c r="E18" s="12">
        <f t="shared" si="0"/>
        <v>44265</v>
      </c>
      <c r="F18" s="13" t="str">
        <f>VLOOKUP(MOD(E18,7),$P$9:Q24,2)</f>
        <v>רביעי</v>
      </c>
      <c r="G18" s="14">
        <f ca="1">IFERROR(VLOOKUP(E18,'דוח ביצוע'!B:D,3,0),0)</f>
        <v>0</v>
      </c>
      <c r="H18" s="14">
        <f ca="1">IFERROR(VLOOKUP(E18,'דוח ביצוע'!B:E,4,0),0)</f>
        <v>0</v>
      </c>
      <c r="I18" s="35">
        <f t="shared" ca="1" si="1"/>
        <v>0</v>
      </c>
      <c r="J18" s="14" t="str">
        <f ca="1">IFERROR(VLOOKUP(E18,'דוח ביצוע'!$B$3:$G$36,6,0),"")</f>
        <v/>
      </c>
      <c r="K18" s="14" t="str">
        <f ca="1">IFERROR(VLOOKUP(E18,'דוח ביצוע'!$B$3:$H$36,7,0),"")</f>
        <v/>
      </c>
      <c r="L18" s="35">
        <f t="shared" ca="1" si="2"/>
        <v>0</v>
      </c>
      <c r="M18" s="16"/>
      <c r="N18" s="17"/>
    </row>
    <row r="19" spans="1:14" ht="18" customHeight="1" x14ac:dyDescent="0.2">
      <c r="A19" s="11"/>
      <c r="B19" s="11">
        <v>11</v>
      </c>
      <c r="C19" s="11"/>
      <c r="E19" s="12">
        <f t="shared" si="0"/>
        <v>44266</v>
      </c>
      <c r="F19" s="13" t="str">
        <f>VLOOKUP(MOD(E19,7),$P$9:Q25,2)</f>
        <v>חמישי</v>
      </c>
      <c r="G19" s="14">
        <f ca="1">IFERROR(VLOOKUP(E19,'דוח ביצוע'!B:D,3,0),0)</f>
        <v>0</v>
      </c>
      <c r="H19" s="14">
        <f ca="1">IFERROR(VLOOKUP(E19,'דוח ביצוע'!B:E,4,0),0)</f>
        <v>0</v>
      </c>
      <c r="I19" s="35">
        <f t="shared" ca="1" si="1"/>
        <v>0</v>
      </c>
      <c r="J19" s="14" t="str">
        <f ca="1">IFERROR(VLOOKUP(E19,'דוח ביצוע'!$B$3:$G$36,6,0),"")</f>
        <v/>
      </c>
      <c r="K19" s="14" t="str">
        <f ca="1">IFERROR(VLOOKUP(E19,'דוח ביצוע'!$B$3:$H$36,7,0),"")</f>
        <v/>
      </c>
      <c r="L19" s="35">
        <f t="shared" ca="1" si="2"/>
        <v>0</v>
      </c>
      <c r="M19" s="16"/>
      <c r="N19" s="17"/>
    </row>
    <row r="20" spans="1:14" ht="18" customHeight="1" x14ac:dyDescent="0.2">
      <c r="A20" s="11"/>
      <c r="B20" s="11">
        <v>12</v>
      </c>
      <c r="C20" s="11"/>
      <c r="E20" s="12">
        <f t="shared" si="0"/>
        <v>44267</v>
      </c>
      <c r="F20" s="13" t="str">
        <f>VLOOKUP(MOD(E20,7),$P$9:Q26,2)</f>
        <v>שישי</v>
      </c>
      <c r="G20" s="14"/>
      <c r="H20" s="14"/>
      <c r="I20" s="35">
        <f t="shared" si="1"/>
        <v>0</v>
      </c>
      <c r="J20" s="14" t="str">
        <f ca="1">IFERROR(VLOOKUP(E20,'דוח ביצוע'!$B$3:$G$36,6,0),"")</f>
        <v/>
      </c>
      <c r="K20" s="14" t="str">
        <f ca="1">IFERROR(VLOOKUP(E20,'דוח ביצוע'!$B$3:$H$36,7,0),"")</f>
        <v/>
      </c>
      <c r="L20" s="35">
        <f t="shared" ca="1" si="2"/>
        <v>0</v>
      </c>
      <c r="M20" s="16"/>
      <c r="N20" s="17"/>
    </row>
    <row r="21" spans="1:14" ht="18" customHeight="1" x14ac:dyDescent="0.2">
      <c r="A21" s="11"/>
      <c r="B21" s="11">
        <v>13</v>
      </c>
      <c r="C21" s="11"/>
      <c r="E21" s="12">
        <f t="shared" si="0"/>
        <v>44268</v>
      </c>
      <c r="F21" s="13" t="str">
        <f>VLOOKUP(MOD(E21,7),$P$9:Q27,2)</f>
        <v>שבת</v>
      </c>
      <c r="G21" s="14"/>
      <c r="H21" s="14"/>
      <c r="I21" s="35">
        <f t="shared" si="1"/>
        <v>0</v>
      </c>
      <c r="J21" s="14" t="str">
        <f ca="1">IFERROR(VLOOKUP(E21,'דוח ביצוע'!$B$3:$G$36,6,0),"")</f>
        <v/>
      </c>
      <c r="K21" s="14" t="str">
        <f ca="1">IFERROR(VLOOKUP(E21,'דוח ביצוע'!$B$3:$H$36,7,0),"")</f>
        <v/>
      </c>
      <c r="L21" s="35">
        <f t="shared" ca="1" si="2"/>
        <v>0</v>
      </c>
      <c r="M21" s="16"/>
      <c r="N21" s="17"/>
    </row>
    <row r="22" spans="1:14" ht="18" customHeight="1" x14ac:dyDescent="0.2">
      <c r="A22" s="11"/>
      <c r="B22" s="11">
        <v>14</v>
      </c>
      <c r="C22" s="11"/>
      <c r="E22" s="12">
        <f t="shared" si="0"/>
        <v>44269</v>
      </c>
      <c r="F22" s="13" t="str">
        <f>VLOOKUP(MOD(E22,7),$P$9:Q28,2)</f>
        <v>ראשון</v>
      </c>
      <c r="G22" s="14">
        <f ca="1">IFERROR(VLOOKUP(E22,'דוח ביצוע'!B:D,3,0),0)</f>
        <v>0</v>
      </c>
      <c r="H22" s="14">
        <f ca="1">IFERROR(VLOOKUP(E22,'דוח ביצוע'!B:E,4,0),0)</f>
        <v>0</v>
      </c>
      <c r="I22" s="35">
        <f t="shared" ca="1" si="1"/>
        <v>0</v>
      </c>
      <c r="J22" s="14" t="str">
        <f ca="1">IFERROR(VLOOKUP(E22,'דוח ביצוע'!$B$3:$G$36,6,0),"")</f>
        <v/>
      </c>
      <c r="K22" s="14" t="str">
        <f ca="1">IFERROR(VLOOKUP(E22,'דוח ביצוע'!$B$3:$H$36,7,0),"")</f>
        <v/>
      </c>
      <c r="L22" s="35">
        <f t="shared" ca="1" si="2"/>
        <v>0</v>
      </c>
      <c r="M22" s="16"/>
      <c r="N22" s="17"/>
    </row>
    <row r="23" spans="1:14" ht="18" customHeight="1" x14ac:dyDescent="0.2">
      <c r="A23" s="11"/>
      <c r="B23" s="11">
        <v>15</v>
      </c>
      <c r="C23" s="11"/>
      <c r="E23" s="12">
        <f t="shared" si="0"/>
        <v>44270</v>
      </c>
      <c r="F23" s="13" t="str">
        <f>VLOOKUP(MOD(E23,7),$P$9:Q29,2)</f>
        <v>שני</v>
      </c>
      <c r="G23" s="14">
        <f ca="1">IFERROR(VLOOKUP(E23,'דוח ביצוע'!B:D,3,0),0)</f>
        <v>0</v>
      </c>
      <c r="H23" s="14">
        <f ca="1">IFERROR(VLOOKUP(E23,'דוח ביצוע'!B:E,4,0),0)</f>
        <v>0</v>
      </c>
      <c r="I23" s="35">
        <f t="shared" ca="1" si="1"/>
        <v>0</v>
      </c>
      <c r="J23" s="14" t="str">
        <f ca="1">IFERROR(VLOOKUP(E23,'דוח ביצוע'!$B$3:$G$36,6,0),"")</f>
        <v/>
      </c>
      <c r="K23" s="14" t="str">
        <f ca="1">IFERROR(VLOOKUP(E23,'דוח ביצוע'!$B$3:$H$36,7,0),"")</f>
        <v/>
      </c>
      <c r="L23" s="35">
        <f t="shared" ca="1" si="2"/>
        <v>0</v>
      </c>
      <c r="M23" s="16"/>
      <c r="N23" s="17"/>
    </row>
    <row r="24" spans="1:14" ht="18" customHeight="1" x14ac:dyDescent="0.2">
      <c r="A24" s="11"/>
      <c r="B24" s="11">
        <v>16</v>
      </c>
      <c r="C24" s="11"/>
      <c r="E24" s="12">
        <f t="shared" si="0"/>
        <v>44271</v>
      </c>
      <c r="F24" s="13" t="str">
        <f>VLOOKUP(MOD(E24,7),$P$9:Q30,2)</f>
        <v>שלישי</v>
      </c>
      <c r="G24" s="14">
        <f ca="1">IFERROR(VLOOKUP(E24,'דוח ביצוע'!B:D,3,0),0)</f>
        <v>0</v>
      </c>
      <c r="H24" s="14">
        <f ca="1">IFERROR(VLOOKUP(E24,'דוח ביצוע'!B:E,4,0),0)</f>
        <v>0</v>
      </c>
      <c r="I24" s="35">
        <f t="shared" ca="1" si="1"/>
        <v>0</v>
      </c>
      <c r="J24" s="14" t="str">
        <f ca="1">IFERROR(VLOOKUP(E24,'דוח ביצוע'!$B$3:$G$36,6,0),"")</f>
        <v/>
      </c>
      <c r="K24" s="14" t="str">
        <f ca="1">IFERROR(VLOOKUP(E24,'דוח ביצוע'!$B$3:$H$36,7,0),"")</f>
        <v/>
      </c>
      <c r="L24" s="35">
        <f t="shared" ca="1" si="2"/>
        <v>0</v>
      </c>
      <c r="M24" s="16"/>
      <c r="N24" s="17"/>
    </row>
    <row r="25" spans="1:14" ht="18" customHeight="1" x14ac:dyDescent="0.2">
      <c r="A25" s="11"/>
      <c r="B25" s="11">
        <v>17</v>
      </c>
      <c r="C25" s="11"/>
      <c r="E25" s="12">
        <f t="shared" si="0"/>
        <v>44272</v>
      </c>
      <c r="F25" s="13" t="str">
        <f>VLOOKUP(MOD(E25,7),$P$9:Q31,2)</f>
        <v>רביעי</v>
      </c>
      <c r="G25" s="14">
        <f ca="1">IFERROR(VLOOKUP(E25,'דוח ביצוע'!B:D,3,0),0)</f>
        <v>0</v>
      </c>
      <c r="H25" s="14">
        <f ca="1">IFERROR(VLOOKUP(E25,'דוח ביצוע'!B:E,4,0),0)</f>
        <v>0</v>
      </c>
      <c r="I25" s="35">
        <f t="shared" ca="1" si="1"/>
        <v>0</v>
      </c>
      <c r="J25" s="14" t="str">
        <f ca="1">IFERROR(VLOOKUP(E25,'דוח ביצוע'!$B$3:$G$36,6,0),"")</f>
        <v/>
      </c>
      <c r="K25" s="14" t="str">
        <f ca="1">IFERROR(VLOOKUP(E25,'דוח ביצוע'!$B$3:$H$36,7,0),"")</f>
        <v/>
      </c>
      <c r="L25" s="35">
        <f t="shared" ca="1" si="2"/>
        <v>0</v>
      </c>
      <c r="M25" s="16"/>
      <c r="N25" s="17"/>
    </row>
    <row r="26" spans="1:14" ht="18" customHeight="1" x14ac:dyDescent="0.2">
      <c r="A26" s="11"/>
      <c r="B26" s="11">
        <v>18</v>
      </c>
      <c r="C26" s="11"/>
      <c r="E26" s="12">
        <f t="shared" si="0"/>
        <v>44273</v>
      </c>
      <c r="F26" s="13" t="str">
        <f>VLOOKUP(MOD(E26,7),$P$9:Q32,2)</f>
        <v>חמישי</v>
      </c>
      <c r="G26" s="14">
        <f ca="1">IFERROR(VLOOKUP(E26,'דוח ביצוע'!B:D,3,0),0)</f>
        <v>0</v>
      </c>
      <c r="H26" s="14">
        <f ca="1">IFERROR(VLOOKUP(E26,'דוח ביצוע'!B:E,4,0),0)</f>
        <v>0</v>
      </c>
      <c r="I26" s="35">
        <f t="shared" ca="1" si="1"/>
        <v>0</v>
      </c>
      <c r="J26" s="14" t="str">
        <f ca="1">IFERROR(VLOOKUP(E26,'דוח ביצוע'!$B$3:$G$36,6,0),"")</f>
        <v/>
      </c>
      <c r="K26" s="14" t="str">
        <f ca="1">IFERROR(VLOOKUP(E26,'דוח ביצוע'!$B$3:$H$36,7,0),"")</f>
        <v/>
      </c>
      <c r="L26" s="35">
        <f t="shared" ca="1" si="2"/>
        <v>0</v>
      </c>
      <c r="M26" s="16"/>
      <c r="N26" s="17"/>
    </row>
    <row r="27" spans="1:14" ht="18" customHeight="1" x14ac:dyDescent="0.2">
      <c r="A27" s="11"/>
      <c r="B27" s="11">
        <v>19</v>
      </c>
      <c r="C27" s="11"/>
      <c r="E27" s="12">
        <f t="shared" si="0"/>
        <v>44274</v>
      </c>
      <c r="F27" s="13" t="str">
        <f>VLOOKUP(MOD(E27,7),$P$9:Q33,2)</f>
        <v>שישי</v>
      </c>
      <c r="G27" s="14"/>
      <c r="H27" s="14"/>
      <c r="I27" s="35">
        <f t="shared" si="1"/>
        <v>0</v>
      </c>
      <c r="J27" s="14" t="str">
        <f ca="1">IFERROR(VLOOKUP(E27,'דוח ביצוע'!$B$3:$G$36,6,0),"")</f>
        <v/>
      </c>
      <c r="K27" s="14" t="str">
        <f ca="1">IFERROR(VLOOKUP(E27,'דוח ביצוע'!$B$3:$H$36,7,0),"")</f>
        <v/>
      </c>
      <c r="L27" s="35">
        <f t="shared" ca="1" si="2"/>
        <v>0</v>
      </c>
      <c r="M27" s="16"/>
      <c r="N27" s="17"/>
    </row>
    <row r="28" spans="1:14" ht="18" customHeight="1" x14ac:dyDescent="0.2">
      <c r="A28" s="11"/>
      <c r="B28" s="11">
        <v>20</v>
      </c>
      <c r="C28" s="11"/>
      <c r="E28" s="12">
        <f t="shared" si="0"/>
        <v>44275</v>
      </c>
      <c r="F28" s="13" t="str">
        <f>VLOOKUP(MOD(E28,7),$P$9:Q34,2)</f>
        <v>שבת</v>
      </c>
      <c r="G28" s="14"/>
      <c r="H28" s="14"/>
      <c r="I28" s="35">
        <f t="shared" si="1"/>
        <v>0</v>
      </c>
      <c r="J28" s="14" t="str">
        <f ca="1">IFERROR(VLOOKUP(E28,'דוח ביצוע'!$B$3:$G$36,6,0),"")</f>
        <v/>
      </c>
      <c r="K28" s="14" t="str">
        <f ca="1">IFERROR(VLOOKUP(E28,'דוח ביצוע'!$B$3:$H$36,7,0),"")</f>
        <v/>
      </c>
      <c r="L28" s="35">
        <f t="shared" ca="1" si="2"/>
        <v>0</v>
      </c>
      <c r="M28" s="16"/>
      <c r="N28" s="17"/>
    </row>
    <row r="29" spans="1:14" ht="18" customHeight="1" x14ac:dyDescent="0.2">
      <c r="A29" s="11"/>
      <c r="B29" s="11">
        <v>21</v>
      </c>
      <c r="C29" s="11"/>
      <c r="E29" s="12">
        <f t="shared" si="0"/>
        <v>44276</v>
      </c>
      <c r="F29" s="13" t="str">
        <f>VLOOKUP(MOD(E29,7),$P$9:Q35,2)</f>
        <v>ראשון</v>
      </c>
      <c r="G29" s="14">
        <f ca="1">IFERROR(VLOOKUP(E29,'דוח ביצוע'!B:D,3,0),0)</f>
        <v>0</v>
      </c>
      <c r="H29" s="14">
        <f ca="1">IFERROR(VLOOKUP(E29,'דוח ביצוע'!B:E,4,0),0)</f>
        <v>0</v>
      </c>
      <c r="I29" s="35">
        <f t="shared" ca="1" si="1"/>
        <v>0</v>
      </c>
      <c r="J29" s="14" t="str">
        <f ca="1">IFERROR(VLOOKUP(E29,'דוח ביצוע'!$B$3:$G$36,6,0),"")</f>
        <v/>
      </c>
      <c r="K29" s="14" t="str">
        <f ca="1">IFERROR(VLOOKUP(E29,'דוח ביצוע'!$B$3:$H$36,7,0),"")</f>
        <v/>
      </c>
      <c r="L29" s="35">
        <f t="shared" ca="1" si="2"/>
        <v>0</v>
      </c>
      <c r="M29" s="16"/>
      <c r="N29" s="17"/>
    </row>
    <row r="30" spans="1:14" ht="18" customHeight="1" x14ac:dyDescent="0.2">
      <c r="A30" s="11"/>
      <c r="B30" s="11">
        <v>22</v>
      </c>
      <c r="C30" s="11"/>
      <c r="E30" s="12">
        <f t="shared" si="0"/>
        <v>44277</v>
      </c>
      <c r="F30" s="13" t="str">
        <f>VLOOKUP(MOD(E30,7),$P$9:Q36,2)</f>
        <v>שני</v>
      </c>
      <c r="G30" s="14">
        <f ca="1">IFERROR(VLOOKUP(E30,'דוח ביצוע'!B:D,3,0),0)</f>
        <v>0</v>
      </c>
      <c r="H30" s="14">
        <f ca="1">IFERROR(VLOOKUP(E30,'דוח ביצוע'!B:E,4,0),0)</f>
        <v>0</v>
      </c>
      <c r="I30" s="35">
        <f t="shared" ca="1" si="1"/>
        <v>0</v>
      </c>
      <c r="J30" s="14" t="str">
        <f ca="1">IFERROR(VLOOKUP(E30,'דוח ביצוע'!$B$3:$G$36,6,0),"")</f>
        <v/>
      </c>
      <c r="K30" s="14" t="str">
        <f ca="1">IFERROR(VLOOKUP(E30,'דוח ביצוע'!$B$3:$H$36,7,0),"")</f>
        <v/>
      </c>
      <c r="L30" s="35">
        <f t="shared" ca="1" si="2"/>
        <v>0</v>
      </c>
      <c r="M30" s="16"/>
      <c r="N30" s="17"/>
    </row>
    <row r="31" spans="1:14" ht="18" customHeight="1" x14ac:dyDescent="0.2">
      <c r="A31" s="11"/>
      <c r="B31" s="11">
        <v>23</v>
      </c>
      <c r="C31" s="11"/>
      <c r="E31" s="12">
        <f t="shared" si="0"/>
        <v>44278</v>
      </c>
      <c r="F31" s="13" t="str">
        <f>VLOOKUP(MOD(E31,7),$P$9:Q37,2)</f>
        <v>שלישי</v>
      </c>
      <c r="G31" s="14">
        <f ca="1">IFERROR(VLOOKUP(E31,'דוח ביצוע'!B:D,3,0),0)</f>
        <v>0</v>
      </c>
      <c r="H31" s="14">
        <f ca="1">IFERROR(VLOOKUP(E31,'דוח ביצוע'!B:E,4,0),0)</f>
        <v>0</v>
      </c>
      <c r="I31" s="35">
        <f t="shared" ca="1" si="1"/>
        <v>0</v>
      </c>
      <c r="J31" s="14" t="str">
        <f ca="1">IFERROR(VLOOKUP(E31,'דוח ביצוע'!$B$3:$G$36,6,0),"")</f>
        <v/>
      </c>
      <c r="K31" s="14" t="str">
        <f ca="1">IFERROR(VLOOKUP(E31,'דוח ביצוע'!$B$3:$H$36,7,0),"")</f>
        <v/>
      </c>
      <c r="L31" s="35">
        <f t="shared" ca="1" si="2"/>
        <v>0</v>
      </c>
      <c r="M31" s="16"/>
      <c r="N31" s="17"/>
    </row>
    <row r="32" spans="1:14" ht="18" customHeight="1" x14ac:dyDescent="0.2">
      <c r="A32" s="11"/>
      <c r="B32" s="11">
        <v>24</v>
      </c>
      <c r="C32" s="11"/>
      <c r="E32" s="12">
        <f t="shared" si="0"/>
        <v>44279</v>
      </c>
      <c r="F32" s="13" t="str">
        <f>VLOOKUP(MOD(E32,7),$P$9:Q38,2)</f>
        <v>רביעי</v>
      </c>
      <c r="G32" s="14">
        <f ca="1">IFERROR(VLOOKUP(E32,'דוח ביצוע'!B:D,3,0),0)</f>
        <v>0</v>
      </c>
      <c r="H32" s="14">
        <f ca="1">IFERROR(VLOOKUP(E32,'דוח ביצוע'!B:E,4,0),0)</f>
        <v>0</v>
      </c>
      <c r="I32" s="35">
        <f t="shared" ca="1" si="1"/>
        <v>0</v>
      </c>
      <c r="J32" s="14" t="str">
        <f ca="1">IFERROR(VLOOKUP(E32,'דוח ביצוע'!$B$3:$G$36,6,0),"")</f>
        <v/>
      </c>
      <c r="K32" s="14" t="str">
        <f ca="1">IFERROR(VLOOKUP(E32,'דוח ביצוע'!$B$3:$H$36,7,0),"")</f>
        <v/>
      </c>
      <c r="L32" s="35">
        <f t="shared" ca="1" si="2"/>
        <v>0</v>
      </c>
      <c r="M32" s="16"/>
      <c r="N32" s="17"/>
    </row>
    <row r="33" spans="1:17" ht="18" customHeight="1" x14ac:dyDescent="0.2">
      <c r="A33" s="11"/>
      <c r="B33" s="11">
        <v>25</v>
      </c>
      <c r="C33" s="11"/>
      <c r="E33" s="12">
        <f t="shared" si="0"/>
        <v>44280</v>
      </c>
      <c r="F33" s="13" t="str">
        <f>VLOOKUP(MOD(E33,7),$P$9:Q39,2)</f>
        <v>חמישי</v>
      </c>
      <c r="G33" s="14">
        <f ca="1">IFERROR(VLOOKUP(E33,'דוח ביצוע'!B:D,3,0),0)</f>
        <v>0</v>
      </c>
      <c r="H33" s="14">
        <f ca="1">IFERROR(VLOOKUP(E33,'דוח ביצוע'!B:E,4,0),0)</f>
        <v>0</v>
      </c>
      <c r="I33" s="35">
        <f t="shared" ca="1" si="1"/>
        <v>0</v>
      </c>
      <c r="J33" s="14" t="str">
        <f ca="1">IFERROR(VLOOKUP(E33,'דוח ביצוע'!$B$3:$G$36,6,0),"")</f>
        <v/>
      </c>
      <c r="K33" s="14" t="str">
        <f ca="1">IFERROR(VLOOKUP(E33,'דוח ביצוע'!$B$3:$H$36,7,0),"")</f>
        <v/>
      </c>
      <c r="L33" s="35">
        <f t="shared" ca="1" si="2"/>
        <v>0</v>
      </c>
      <c r="M33" s="16"/>
      <c r="N33" s="17"/>
    </row>
    <row r="34" spans="1:17" ht="18" customHeight="1" x14ac:dyDescent="0.2">
      <c r="A34" s="11"/>
      <c r="B34" s="11">
        <v>26</v>
      </c>
      <c r="C34" s="11"/>
      <c r="E34" s="12">
        <f t="shared" si="0"/>
        <v>44281</v>
      </c>
      <c r="F34" s="13" t="str">
        <f>VLOOKUP(MOD(E34,7),$P$9:Q42,2)</f>
        <v>שישי</v>
      </c>
      <c r="G34" s="14"/>
      <c r="H34" s="14"/>
      <c r="I34" s="35">
        <f t="shared" si="1"/>
        <v>0</v>
      </c>
      <c r="J34" s="14" t="str">
        <f ca="1">IFERROR(VLOOKUP(E34,'דוח ביצוע'!$B$3:$G$36,6,0),"")</f>
        <v/>
      </c>
      <c r="K34" s="14" t="str">
        <f ca="1">IFERROR(VLOOKUP(E34,'דוח ביצוע'!$B$3:$H$36,7,0),"")</f>
        <v/>
      </c>
      <c r="L34" s="35">
        <f t="shared" ca="1" si="2"/>
        <v>0</v>
      </c>
      <c r="M34" s="16"/>
      <c r="N34" s="17"/>
    </row>
    <row r="35" spans="1:17" ht="18" customHeight="1" x14ac:dyDescent="0.2">
      <c r="A35" s="11"/>
      <c r="B35" s="11">
        <v>27</v>
      </c>
      <c r="C35" s="11"/>
      <c r="E35" s="12">
        <f t="shared" si="0"/>
        <v>44282</v>
      </c>
      <c r="F35" s="13" t="str">
        <f>VLOOKUP(MOD(E35,7),$P$9:Q42,2)</f>
        <v>שבת</v>
      </c>
      <c r="G35" s="14"/>
      <c r="H35" s="14"/>
      <c r="I35" s="35">
        <f t="shared" si="1"/>
        <v>0</v>
      </c>
      <c r="J35" s="14" t="str">
        <f ca="1">IFERROR(VLOOKUP(E35,'דוח ביצוע'!$B$3:$G$36,6,0),"")</f>
        <v/>
      </c>
      <c r="K35" s="14" t="str">
        <f ca="1">IFERROR(VLOOKUP(E35,'דוח ביצוע'!$B$3:$H$36,7,0),"")</f>
        <v/>
      </c>
      <c r="L35" s="35">
        <f t="shared" ca="1" si="2"/>
        <v>0</v>
      </c>
      <c r="M35" s="16"/>
      <c r="N35" s="17"/>
    </row>
    <row r="36" spans="1:17" ht="18" customHeight="1" x14ac:dyDescent="0.2">
      <c r="A36" s="11"/>
      <c r="B36" s="11">
        <v>28</v>
      </c>
      <c r="C36" s="11"/>
      <c r="E36" s="12">
        <f t="shared" si="0"/>
        <v>44283</v>
      </c>
      <c r="F36" s="13" t="str">
        <f>VLOOKUP(MOD(E36,7),$P$9:Q42,2)</f>
        <v>ראשון</v>
      </c>
      <c r="G36" s="14">
        <f ca="1">IFERROR(VLOOKUP(E36,'דוח ביצוע'!B:D,3,0),0)</f>
        <v>0</v>
      </c>
      <c r="H36" s="14">
        <f ca="1">IFERROR(VLOOKUP(E36,'דוח ביצוע'!B:E,4,0),0)</f>
        <v>0</v>
      </c>
      <c r="I36" s="35">
        <f t="shared" ca="1" si="1"/>
        <v>0</v>
      </c>
      <c r="J36" s="14" t="str">
        <f ca="1">IFERROR(VLOOKUP(E36,'דוח ביצוע'!$B$3:$G$36,6,0),"")</f>
        <v/>
      </c>
      <c r="K36" s="14" t="str">
        <f ca="1">IFERROR(VLOOKUP(E36,'דוח ביצוע'!$B$3:$H$36,7,0),"")</f>
        <v/>
      </c>
      <c r="L36" s="35">
        <f t="shared" ca="1" si="2"/>
        <v>0</v>
      </c>
      <c r="M36" s="16"/>
      <c r="N36" s="17"/>
      <c r="P36" s="19"/>
    </row>
    <row r="37" spans="1:17" ht="18" customHeight="1" x14ac:dyDescent="0.2">
      <c r="A37" s="12">
        <f>DATE($F$3,$F$4,B37)</f>
        <v>44284</v>
      </c>
      <c r="B37" s="11">
        <v>29</v>
      </c>
      <c r="C37" s="11" t="b">
        <f>+MONTH(E36)=MONTH(A37)</f>
        <v>1</v>
      </c>
      <c r="E37" s="12">
        <f>IF(C37=TRUE,DATE($F$3,$F$4,B37),0)</f>
        <v>44284</v>
      </c>
      <c r="F37" s="13" t="str">
        <f>IF(C37=TRUE,VLOOKUP(MOD(E37,7),$P$9:Q42,2),0)</f>
        <v>שני</v>
      </c>
      <c r="G37" s="14">
        <f ca="1">IFERROR(VLOOKUP(E37,'דוח ביצוע'!B:D,3,0),0)</f>
        <v>0</v>
      </c>
      <c r="H37" s="14">
        <f ca="1">IFERROR(VLOOKUP(E37,'דוח ביצוע'!B:E,4,0),0)</f>
        <v>0</v>
      </c>
      <c r="I37" s="35">
        <f t="shared" ca="1" si="1"/>
        <v>0</v>
      </c>
      <c r="J37" s="14" t="str">
        <f ca="1">IFERROR(VLOOKUP(E37,'דוח ביצוע'!$B$3:$G$36,6,0),"")</f>
        <v/>
      </c>
      <c r="K37" s="14" t="str">
        <f ca="1">IFERROR(VLOOKUP(E37,'דוח ביצוע'!$B$3:$H$36,7,0),"")</f>
        <v/>
      </c>
      <c r="L37" s="35">
        <f t="shared" ca="1" si="2"/>
        <v>0</v>
      </c>
      <c r="M37" s="16"/>
      <c r="N37" s="17"/>
      <c r="P37" s="19"/>
      <c r="Q37" s="20"/>
    </row>
    <row r="38" spans="1:17" ht="18" customHeight="1" x14ac:dyDescent="0.2">
      <c r="A38" s="12">
        <f>DATE($F$3,$F$4,B38)</f>
        <v>44285</v>
      </c>
      <c r="B38" s="11">
        <v>30</v>
      </c>
      <c r="C38" s="11" t="b">
        <f>+MONTH(E36)=MONTH(A38)</f>
        <v>1</v>
      </c>
      <c r="E38" s="12">
        <f>IF(C38=TRUE,DATE($F$3,$F$4,B38),0)</f>
        <v>44285</v>
      </c>
      <c r="F38" s="13" t="str">
        <f>IF(C38=TRUE,VLOOKUP(MOD(E38,7),$P$9:Q43,2),0)</f>
        <v>שלישי</v>
      </c>
      <c r="G38" s="14">
        <f ca="1">IFERROR(VLOOKUP(E38,'דוח ביצוע'!B:D,3,0),0)</f>
        <v>0</v>
      </c>
      <c r="H38" s="14">
        <f ca="1">IFERROR(VLOOKUP(E38,'דוח ביצוע'!B:E,4,0),0)</f>
        <v>0</v>
      </c>
      <c r="I38" s="35">
        <f t="shared" ca="1" si="1"/>
        <v>0</v>
      </c>
      <c r="J38" s="14" t="str">
        <f ca="1">IFERROR(VLOOKUP(E38,'דוח ביצוע'!$B$3:$G$36,6,0),"")</f>
        <v/>
      </c>
      <c r="K38" s="14" t="str">
        <f ca="1">IFERROR(VLOOKUP(E38,'דוח ביצוע'!$B$3:$H$36,7,0),"")</f>
        <v/>
      </c>
      <c r="L38" s="35">
        <f t="shared" ca="1" si="2"/>
        <v>0</v>
      </c>
      <c r="M38" s="16"/>
      <c r="N38" s="17"/>
      <c r="P38" s="19"/>
    </row>
    <row r="39" spans="1:17" ht="18" customHeight="1" x14ac:dyDescent="0.2">
      <c r="A39" s="12">
        <f>DATE($F$3,$F$4,B39)</f>
        <v>44286</v>
      </c>
      <c r="B39" s="11">
        <v>31</v>
      </c>
      <c r="C39" s="11" t="b">
        <f>+MONTH(E36)=MONTH(A39)</f>
        <v>1</v>
      </c>
      <c r="E39" s="12">
        <f>IF(C39=TRUE,DATE($F$3,$F$4,B39),0)</f>
        <v>44286</v>
      </c>
      <c r="F39" s="13" t="str">
        <f>IF(C39=TRUE,VLOOKUP(MOD(E39,7),$P$9:Q44,2),0)</f>
        <v>רביעי</v>
      </c>
      <c r="G39" s="14">
        <f ca="1">IFERROR(VLOOKUP(E39,'דוח ביצוע'!B:D,3,0),0)</f>
        <v>0</v>
      </c>
      <c r="H39" s="14">
        <f ca="1">IFERROR(VLOOKUP(E39,'דוח ביצוע'!B:E,4,0),0)</f>
        <v>0</v>
      </c>
      <c r="I39" s="35">
        <f t="shared" ca="1" si="1"/>
        <v>0</v>
      </c>
      <c r="J39" s="14" t="str">
        <f ca="1">IFERROR(VLOOKUP(E39,'דוח ביצוע'!$B$3:$G$36,6,0),"")</f>
        <v/>
      </c>
      <c r="K39" s="14" t="str">
        <f ca="1">IFERROR(VLOOKUP(E39,'דוח ביצוע'!$B$3:$H$36,7,0),"")</f>
        <v/>
      </c>
      <c r="L39" s="35">
        <f t="shared" ca="1" si="2"/>
        <v>0</v>
      </c>
      <c r="M39" s="16"/>
      <c r="N39" s="17"/>
      <c r="P39" s="19"/>
    </row>
    <row r="40" spans="1:17" ht="18" customHeight="1" x14ac:dyDescent="0.2">
      <c r="E40" s="21"/>
      <c r="F40" s="22"/>
      <c r="G40" s="23"/>
      <c r="H40" s="23"/>
      <c r="I40" s="24"/>
      <c r="J40" s="23"/>
      <c r="K40" s="23"/>
      <c r="L40" s="24"/>
      <c r="M40" s="25"/>
      <c r="N40" s="10"/>
    </row>
    <row r="41" spans="1:17" ht="18" customHeight="1" x14ac:dyDescent="0.2">
      <c r="F41" s="22"/>
      <c r="G41" s="23"/>
      <c r="H41" s="23"/>
      <c r="I41" s="24"/>
      <c r="J41" s="23"/>
      <c r="K41" s="23"/>
      <c r="L41" s="24"/>
      <c r="M41" s="25"/>
      <c r="N41" s="10"/>
    </row>
    <row r="42" spans="1:17" s="2" customFormat="1" ht="24.95" customHeight="1" x14ac:dyDescent="0.2">
      <c r="G42" s="146" t="s">
        <v>22</v>
      </c>
      <c r="H42" s="147"/>
      <c r="I42" s="26">
        <f ca="1">SUM(I9:I39)</f>
        <v>0</v>
      </c>
      <c r="L42" s="148" t="s">
        <v>23</v>
      </c>
      <c r="M42" s="149"/>
      <c r="N42" s="27"/>
      <c r="O42" s="28"/>
    </row>
    <row r="43" spans="1:17" s="2" customFormat="1" ht="24.95" customHeight="1" x14ac:dyDescent="0.15">
      <c r="G43" s="146" t="s">
        <v>24</v>
      </c>
      <c r="H43" s="147"/>
      <c r="I43" s="26">
        <f ca="1">SUM(L9:L39)</f>
        <v>0</v>
      </c>
      <c r="L43" s="148" t="s">
        <v>25</v>
      </c>
      <c r="M43" s="149"/>
      <c r="N43" s="17"/>
      <c r="O43" s="28"/>
    </row>
    <row r="44" spans="1:17" s="2" customFormat="1" ht="24.95" customHeight="1" x14ac:dyDescent="0.15">
      <c r="G44" s="146" t="s">
        <v>26</v>
      </c>
      <c r="H44" s="147"/>
      <c r="I44" s="29">
        <f>COUNTA(M9:M39)</f>
        <v>0</v>
      </c>
      <c r="L44" s="148" t="s">
        <v>27</v>
      </c>
      <c r="M44" s="149"/>
      <c r="N44" s="17"/>
      <c r="O44" s="28"/>
    </row>
    <row r="45" spans="1:17" ht="18" customHeight="1" x14ac:dyDescent="0.2"/>
  </sheetData>
  <autoFilter ref="E8:N39" xr:uid="{00000000-0009-0000-0000-000005000000}"/>
  <mergeCells count="10">
    <mergeCell ref="G43:H43"/>
    <mergeCell ref="L43:M43"/>
    <mergeCell ref="G44:H44"/>
    <mergeCell ref="L44:M44"/>
    <mergeCell ref="I3:K3"/>
    <mergeCell ref="I4:K4"/>
    <mergeCell ref="G7:I7"/>
    <mergeCell ref="J7:L7"/>
    <mergeCell ref="G42:H42"/>
    <mergeCell ref="L42:M42"/>
  </mergeCells>
  <dataValidations count="5">
    <dataValidation type="list" allowBlank="1" showInputMessage="1" showErrorMessage="1" sqref="M9:M41" xr:uid="{00000000-0002-0000-0500-000000000000}">
      <formula1>$R$9:$R$10</formula1>
    </dataValidation>
    <dataValidation type="time" allowBlank="1" showInputMessage="1" showErrorMessage="1" sqref="J40:K41 G9:H41" xr:uid="{00000000-0002-0000-0500-000001000000}">
      <formula1>0</formula1>
      <formula2>0.999305555555556</formula2>
    </dataValidation>
    <dataValidation type="whole" allowBlank="1" showInputMessage="1" showErrorMessage="1" sqref="F3" xr:uid="{00000000-0002-0000-0500-000002000000}">
      <formula1>2002</formula1>
      <formula2>2100</formula2>
    </dataValidation>
    <dataValidation type="whole" allowBlank="1" showInputMessage="1" showErrorMessage="1" sqref="F4" xr:uid="{00000000-0002-0000-0500-000003000000}">
      <formula1>1</formula1>
      <formula2>12</formula2>
    </dataValidation>
    <dataValidation type="whole" allowBlank="1" showInputMessage="1" showErrorMessage="1" sqref="F5" xr:uid="{00000000-0002-0000-0500-000004000000}">
      <formula1>150</formula1>
      <formula2>216</formula2>
    </dataValidation>
  </dataValidations>
  <pageMargins left="0.7" right="0.7" top="0.75" bottom="0.75" header="0.3" footer="0.3"/>
  <pageSetup paperSize="9" scale="72" orientation="portrait" r:id="rId1"/>
  <ignoredErrors>
    <ignoredError sqref="H9 H15:H19 H22:H26 H29:H33 H36:H39 H11:H12 H10" unlockedFormula="1"/>
  </ignoredError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גיליון5">
    <pageSetUpPr fitToPage="1"/>
  </sheetPr>
  <dimension ref="A1:R44"/>
  <sheetViews>
    <sheetView rightToLeft="1" topLeftCell="D1" zoomScaleNormal="100" workbookViewId="0">
      <selection activeCell="I4" sqref="I4:K4"/>
    </sheetView>
  </sheetViews>
  <sheetFormatPr defaultColWidth="9.140625" defaultRowHeight="12.75" x14ac:dyDescent="0.2"/>
  <cols>
    <col min="1" max="3" width="3.42578125" style="1" hidden="1" customWidth="1"/>
    <col min="4" max="4" width="2.85546875" style="1" customWidth="1"/>
    <col min="5" max="5" width="12.28515625" style="1" customWidth="1"/>
    <col min="6" max="6" width="9.28515625" style="1" customWidth="1"/>
    <col min="7" max="7" width="7.42578125" style="1" customWidth="1"/>
    <col min="8" max="8" width="11.140625" style="1" customWidth="1"/>
    <col min="9" max="12" width="8.7109375" style="1" customWidth="1"/>
    <col min="13" max="13" width="11.7109375" style="1" customWidth="1"/>
    <col min="14" max="14" width="19.42578125" style="1" customWidth="1"/>
    <col min="15" max="15" width="2.28515625" style="1" hidden="1" customWidth="1"/>
    <col min="16" max="16" width="2.42578125" style="1" hidden="1" customWidth="1"/>
    <col min="17" max="17" width="8.28515625" style="1" hidden="1" customWidth="1"/>
    <col min="18" max="18" width="2.5703125" style="1" hidden="1" customWidth="1"/>
    <col min="19" max="19" width="0" style="1" hidden="1" customWidth="1"/>
    <col min="20" max="16384" width="9.140625" style="1"/>
  </cols>
  <sheetData>
    <row r="1" spans="1:18" ht="15.95" customHeight="1" x14ac:dyDescent="0.2"/>
    <row r="2" spans="1:18" ht="15.95" customHeight="1" x14ac:dyDescent="0.2"/>
    <row r="3" spans="1:18" s="2" customFormat="1" ht="21.95" customHeight="1" x14ac:dyDescent="0.2">
      <c r="E3" s="3" t="s">
        <v>0</v>
      </c>
      <c r="F3" s="4">
        <v>2021</v>
      </c>
      <c r="H3" s="3" t="s">
        <v>1</v>
      </c>
      <c r="I3" s="150"/>
      <c r="J3" s="151"/>
      <c r="K3" s="152"/>
    </row>
    <row r="4" spans="1:18" s="2" customFormat="1" ht="21.95" customHeight="1" x14ac:dyDescent="0.2">
      <c r="E4" s="3" t="s">
        <v>2</v>
      </c>
      <c r="F4" s="4">
        <v>4</v>
      </c>
      <c r="H4" s="3" t="s">
        <v>3</v>
      </c>
      <c r="I4" s="150"/>
      <c r="J4" s="151"/>
      <c r="K4" s="152"/>
    </row>
    <row r="5" spans="1:18" s="2" customFormat="1" ht="21.95" customHeight="1" x14ac:dyDescent="0.2">
      <c r="E5" s="5" t="s">
        <v>4</v>
      </c>
      <c r="F5" s="4"/>
      <c r="H5" s="6"/>
      <c r="I5" s="7"/>
      <c r="J5" s="7"/>
      <c r="K5" s="7"/>
    </row>
    <row r="6" spans="1:18" ht="18" customHeight="1" x14ac:dyDescent="0.2"/>
    <row r="7" spans="1:18" ht="18" customHeight="1" x14ac:dyDescent="0.2">
      <c r="G7" s="153" t="s">
        <v>5</v>
      </c>
      <c r="H7" s="153"/>
      <c r="I7" s="153"/>
      <c r="J7" s="153" t="s">
        <v>6</v>
      </c>
      <c r="K7" s="153"/>
      <c r="L7" s="153"/>
    </row>
    <row r="8" spans="1:18" ht="34.5" x14ac:dyDescent="0.2">
      <c r="E8" s="8" t="s">
        <v>7</v>
      </c>
      <c r="F8" s="8" t="s">
        <v>8</v>
      </c>
      <c r="G8" s="8" t="s">
        <v>9</v>
      </c>
      <c r="H8" s="8" t="s">
        <v>10</v>
      </c>
      <c r="I8" s="8" t="s">
        <v>11</v>
      </c>
      <c r="J8" s="8" t="s">
        <v>9</v>
      </c>
      <c r="K8" s="8" t="s">
        <v>10</v>
      </c>
      <c r="L8" s="8" t="s">
        <v>11</v>
      </c>
      <c r="M8" s="8" t="s">
        <v>12</v>
      </c>
      <c r="N8" s="8" t="s">
        <v>13</v>
      </c>
      <c r="Q8" s="9" t="s">
        <v>8</v>
      </c>
      <c r="R8" s="10"/>
    </row>
    <row r="9" spans="1:18" ht="18" customHeight="1" x14ac:dyDescent="0.2">
      <c r="A9" s="11"/>
      <c r="B9" s="11">
        <v>1</v>
      </c>
      <c r="C9" s="11"/>
      <c r="E9" s="12">
        <f>DATE($F$3,$F$4,B9)</f>
        <v>44287</v>
      </c>
      <c r="F9" s="13" t="str">
        <f>VLOOKUP(MOD(E9,7),$P$9:Q15,2)</f>
        <v>חמישי</v>
      </c>
      <c r="G9" s="14">
        <f ca="1">IFERROR(VLOOKUP(E9,'דוח ביצוע'!B:D,3,0),0)</f>
        <v>0</v>
      </c>
      <c r="H9" s="14">
        <f ca="1">IFERROR(VLOOKUP(E9,'דוח ביצוע'!B:E,4,0),0)</f>
        <v>0</v>
      </c>
      <c r="I9" s="35">
        <f ca="1">IFERROR(24*(H9-G9),0)</f>
        <v>0</v>
      </c>
      <c r="J9" s="14" t="str">
        <f ca="1">IFERROR(VLOOKUP(E9,'דוח ביצוע'!$B$3:$G$36,6,0),"")</f>
        <v/>
      </c>
      <c r="K9" s="14" t="str">
        <f ca="1">IFERROR(VLOOKUP(E9,'דוח ביצוע'!$B$3:$H$36,7,0),"")</f>
        <v/>
      </c>
      <c r="L9" s="15">
        <f ca="1">IFERROR(24*(K9-J9),0)</f>
        <v>0</v>
      </c>
      <c r="M9" s="16"/>
      <c r="N9" s="17"/>
      <c r="P9" s="1">
        <v>0</v>
      </c>
      <c r="Q9" s="1" t="s">
        <v>14</v>
      </c>
      <c r="R9" s="18" t="s">
        <v>15</v>
      </c>
    </row>
    <row r="10" spans="1:18" ht="18" customHeight="1" x14ac:dyDescent="0.2">
      <c r="A10" s="11"/>
      <c r="B10" s="11">
        <v>2</v>
      </c>
      <c r="C10" s="11"/>
      <c r="E10" s="12">
        <f t="shared" ref="E10:E36" si="0">DATE($F$3,$F$4,B10)</f>
        <v>44288</v>
      </c>
      <c r="F10" s="13" t="str">
        <f>VLOOKUP(MOD(E10,7),$P$9:Q16,2)</f>
        <v>שישי</v>
      </c>
      <c r="G10" s="14">
        <f ca="1">IFERROR(VLOOKUP(E10,'דוח ביצוע'!B:D,3,0),0)</f>
        <v>0</v>
      </c>
      <c r="H10" s="14">
        <f ca="1">IFERROR(VLOOKUP(E10,'דוח ביצוע'!B:E,4,0),0)</f>
        <v>0</v>
      </c>
      <c r="I10" s="35">
        <f t="shared" ref="I10:I38" ca="1" si="1">IFERROR(24*(H10-G10),0)</f>
        <v>0</v>
      </c>
      <c r="J10" s="14" t="str">
        <f ca="1">IFERROR(VLOOKUP(E10,'דוח ביצוע'!B4:G42,6,0),"")</f>
        <v/>
      </c>
      <c r="K10" s="14" t="str">
        <f ca="1">IFERROR(VLOOKUP(E10,'דוח ביצוע'!$B$3:$H$36,7,0),"")</f>
        <v/>
      </c>
      <c r="L10" s="15">
        <f t="shared" ref="L10:L38" ca="1" si="2">IFERROR(24*(K10-J10),0)</f>
        <v>0</v>
      </c>
      <c r="M10" s="16"/>
      <c r="N10" s="17"/>
      <c r="P10" s="1">
        <v>1</v>
      </c>
      <c r="Q10" s="1" t="s">
        <v>16</v>
      </c>
    </row>
    <row r="11" spans="1:18" ht="18" customHeight="1" x14ac:dyDescent="0.2">
      <c r="A11" s="11"/>
      <c r="B11" s="11">
        <v>3</v>
      </c>
      <c r="C11" s="11"/>
      <c r="E11" s="12">
        <f t="shared" si="0"/>
        <v>44289</v>
      </c>
      <c r="F11" s="13" t="str">
        <f>VLOOKUP(MOD(E11,7),$P$9:Q17,2)</f>
        <v>שבת</v>
      </c>
      <c r="G11" s="14">
        <f ca="1">IFERROR(VLOOKUP(E11,'דוח ביצוע'!B:D,3,0),0)</f>
        <v>0</v>
      </c>
      <c r="H11" s="14">
        <f ca="1">IFERROR(VLOOKUP(E11,'דוח ביצוע'!B:E,4,0),0)</f>
        <v>0</v>
      </c>
      <c r="I11" s="35">
        <f t="shared" ca="1" si="1"/>
        <v>0</v>
      </c>
      <c r="J11" s="14" t="str">
        <f ca="1">IFERROR(VLOOKUP(E11,'דוח ביצוע'!B5:G43,6,0),"")</f>
        <v/>
      </c>
      <c r="K11" s="14" t="str">
        <f ca="1">IFERROR(VLOOKUP(E11,'דוח ביצוע'!$B$3:$H$36,7,0),"")</f>
        <v/>
      </c>
      <c r="L11" s="15">
        <f t="shared" ca="1" si="2"/>
        <v>0</v>
      </c>
      <c r="M11" s="16"/>
      <c r="N11" s="17"/>
      <c r="P11" s="1">
        <v>2</v>
      </c>
      <c r="Q11" s="1" t="s">
        <v>17</v>
      </c>
    </row>
    <row r="12" spans="1:18" ht="18" customHeight="1" x14ac:dyDescent="0.2">
      <c r="A12" s="11"/>
      <c r="B12" s="11">
        <v>4</v>
      </c>
      <c r="C12" s="11"/>
      <c r="E12" s="12">
        <f t="shared" si="0"/>
        <v>44290</v>
      </c>
      <c r="F12" s="13" t="str">
        <f>VLOOKUP(MOD(E12,7),$P$9:Q18,2)</f>
        <v>ראשון</v>
      </c>
      <c r="G12" s="14">
        <f ca="1">IFERROR(VLOOKUP(E12,'דוח ביצוע'!B:D,3,0),0)</f>
        <v>0</v>
      </c>
      <c r="H12" s="14">
        <f ca="1">IFERROR(VLOOKUP(E12,'דוח ביצוע'!B:E,4,0),0)</f>
        <v>0</v>
      </c>
      <c r="I12" s="35">
        <f t="shared" ca="1" si="1"/>
        <v>0</v>
      </c>
      <c r="J12" s="14" t="str">
        <f ca="1">IFERROR(VLOOKUP(E12,'דוח ביצוע'!B6:G44,6,0),"")</f>
        <v/>
      </c>
      <c r="K12" s="14" t="str">
        <f ca="1">IFERROR(VLOOKUP(E12,'דוח ביצוע'!$B$3:$H$36,7,0),"")</f>
        <v/>
      </c>
      <c r="L12" s="15">
        <f t="shared" ca="1" si="2"/>
        <v>0</v>
      </c>
      <c r="M12" s="16"/>
      <c r="N12" s="17"/>
      <c r="P12" s="1">
        <v>3</v>
      </c>
      <c r="Q12" s="1" t="s">
        <v>18</v>
      </c>
    </row>
    <row r="13" spans="1:18" ht="18" customHeight="1" x14ac:dyDescent="0.2">
      <c r="A13" s="11"/>
      <c r="B13" s="11">
        <v>5</v>
      </c>
      <c r="C13" s="11"/>
      <c r="E13" s="12">
        <f t="shared" si="0"/>
        <v>44291</v>
      </c>
      <c r="F13" s="13" t="str">
        <f>VLOOKUP(MOD(E13,7),$P$9:Q19,2)</f>
        <v>שני</v>
      </c>
      <c r="G13" s="14">
        <f ca="1">IFERROR(VLOOKUP(E13,'דוח ביצוע'!B:D,3,0),0)</f>
        <v>0</v>
      </c>
      <c r="H13" s="14">
        <f ca="1">IFERROR(VLOOKUP(E13,'דוח ביצוע'!B:E,4,0),0)</f>
        <v>0</v>
      </c>
      <c r="I13" s="35">
        <f t="shared" ca="1" si="1"/>
        <v>0</v>
      </c>
      <c r="J13" s="14" t="str">
        <f ca="1">IFERROR(VLOOKUP(E13,'דוח ביצוע'!B7:G45,6,0),"")</f>
        <v/>
      </c>
      <c r="K13" s="14" t="str">
        <f ca="1">IFERROR(VLOOKUP(E13,'דוח ביצוע'!$B$3:$H$36,7,0),"")</f>
        <v/>
      </c>
      <c r="L13" s="15">
        <f t="shared" ca="1" si="2"/>
        <v>0</v>
      </c>
      <c r="M13" s="16"/>
      <c r="N13" s="17"/>
      <c r="P13" s="1">
        <v>4</v>
      </c>
      <c r="Q13" s="1" t="s">
        <v>19</v>
      </c>
    </row>
    <row r="14" spans="1:18" ht="18" customHeight="1" x14ac:dyDescent="0.2">
      <c r="A14" s="11"/>
      <c r="B14" s="11">
        <v>6</v>
      </c>
      <c r="C14" s="11"/>
      <c r="E14" s="12">
        <f t="shared" si="0"/>
        <v>44292</v>
      </c>
      <c r="F14" s="13" t="str">
        <f>VLOOKUP(MOD(E14,7),$P$9:Q20,2)</f>
        <v>שלישי</v>
      </c>
      <c r="G14" s="14">
        <f ca="1">IFERROR(VLOOKUP(E14,'דוח ביצוע'!B:D,3,0),0)</f>
        <v>0</v>
      </c>
      <c r="H14" s="14">
        <f ca="1">IFERROR(VLOOKUP(E14,'דוח ביצוע'!B:E,4,0),0)</f>
        <v>0</v>
      </c>
      <c r="I14" s="35">
        <f t="shared" ca="1" si="1"/>
        <v>0</v>
      </c>
      <c r="J14" s="14" t="str">
        <f ca="1">IFERROR(VLOOKUP(E14,'דוח ביצוע'!B8:G46,6,0),"")</f>
        <v/>
      </c>
      <c r="K14" s="14" t="str">
        <f ca="1">IFERROR(VLOOKUP(E14,'דוח ביצוע'!$B$3:$H$36,7,0),"")</f>
        <v/>
      </c>
      <c r="L14" s="15">
        <f t="shared" ca="1" si="2"/>
        <v>0</v>
      </c>
      <c r="M14" s="16"/>
      <c r="N14" s="17"/>
      <c r="P14" s="1">
        <v>5</v>
      </c>
      <c r="Q14" s="1" t="s">
        <v>20</v>
      </c>
    </row>
    <row r="15" spans="1:18" ht="18" customHeight="1" x14ac:dyDescent="0.2">
      <c r="A15" s="11"/>
      <c r="B15" s="11">
        <v>7</v>
      </c>
      <c r="C15" s="11"/>
      <c r="E15" s="12">
        <f t="shared" si="0"/>
        <v>44293</v>
      </c>
      <c r="F15" s="13" t="str">
        <f>VLOOKUP(MOD(E15,7),$P$9:Q21,2)</f>
        <v>רביעי</v>
      </c>
      <c r="G15" s="14">
        <f ca="1">IFERROR(VLOOKUP(E15,'דוח ביצוע'!B:D,3,0),0)</f>
        <v>0</v>
      </c>
      <c r="H15" s="14">
        <f ca="1">IFERROR(VLOOKUP(E15,'דוח ביצוע'!B:E,4,0),0)</f>
        <v>0</v>
      </c>
      <c r="I15" s="35">
        <f t="shared" ca="1" si="1"/>
        <v>0</v>
      </c>
      <c r="J15" s="14" t="str">
        <f ca="1">IFERROR(VLOOKUP(E15,'דוח ביצוע'!B10:G47,6,0),"")</f>
        <v/>
      </c>
      <c r="K15" s="14" t="str">
        <f ca="1">IFERROR(VLOOKUP(E15,'דוח ביצוע'!$B$3:$H$36,7,0),"")</f>
        <v/>
      </c>
      <c r="L15" s="15">
        <f t="shared" ca="1" si="2"/>
        <v>0</v>
      </c>
      <c r="M15" s="16"/>
      <c r="N15" s="17"/>
      <c r="P15" s="1">
        <v>6</v>
      </c>
      <c r="Q15" s="1" t="s">
        <v>21</v>
      </c>
    </row>
    <row r="16" spans="1:18" ht="18" customHeight="1" x14ac:dyDescent="0.2">
      <c r="A16" s="11"/>
      <c r="B16" s="11">
        <v>8</v>
      </c>
      <c r="C16" s="11"/>
      <c r="E16" s="12">
        <f t="shared" si="0"/>
        <v>44294</v>
      </c>
      <c r="F16" s="13" t="str">
        <f>VLOOKUP(MOD(E16,7),$P$9:Q22,2)</f>
        <v>חמישי</v>
      </c>
      <c r="G16" s="14">
        <f ca="1">IFERROR(VLOOKUP(E16,'דוח ביצוע'!B:D,3,0),0)</f>
        <v>0</v>
      </c>
      <c r="H16" s="14">
        <f ca="1">IFERROR(VLOOKUP(E16,'דוח ביצוע'!B:E,4,0),0)</f>
        <v>0</v>
      </c>
      <c r="I16" s="35">
        <f t="shared" ca="1" si="1"/>
        <v>0</v>
      </c>
      <c r="J16" s="14" t="str">
        <f ca="1">IFERROR(VLOOKUP(E16,'דוח ביצוע'!B11:G48,6,0),"")</f>
        <v/>
      </c>
      <c r="K16" s="14" t="str">
        <f ca="1">IFERROR(VLOOKUP(E16,'דוח ביצוע'!$B$3:$H$36,7,0),"")</f>
        <v/>
      </c>
      <c r="L16" s="15">
        <f t="shared" ca="1" si="2"/>
        <v>0</v>
      </c>
      <c r="M16" s="16"/>
      <c r="N16" s="17"/>
    </row>
    <row r="17" spans="1:14" ht="18" customHeight="1" x14ac:dyDescent="0.2">
      <c r="A17" s="11"/>
      <c r="B17" s="11">
        <v>9</v>
      </c>
      <c r="C17" s="11"/>
      <c r="E17" s="12">
        <f t="shared" si="0"/>
        <v>44295</v>
      </c>
      <c r="F17" s="13" t="str">
        <f>VLOOKUP(MOD(E17,7),$P$9:Q23,2)</f>
        <v>שישי</v>
      </c>
      <c r="G17" s="14">
        <f ca="1">IFERROR(VLOOKUP(E17,'דוח ביצוע'!B:D,3,0),0)</f>
        <v>0</v>
      </c>
      <c r="H17" s="14">
        <f ca="1">IFERROR(VLOOKUP(E17,'דוח ביצוע'!B:E,4,0),0)</f>
        <v>0</v>
      </c>
      <c r="I17" s="35">
        <f t="shared" ca="1" si="1"/>
        <v>0</v>
      </c>
      <c r="J17" s="14" t="str">
        <f ca="1">IFERROR(VLOOKUP(E17,'דוח ביצוע'!B12:G49,6,0),"")</f>
        <v/>
      </c>
      <c r="K17" s="14" t="str">
        <f ca="1">IFERROR(VLOOKUP(E17,'דוח ביצוע'!$B$3:$H$36,7,0),"")</f>
        <v/>
      </c>
      <c r="L17" s="15">
        <f t="shared" ca="1" si="2"/>
        <v>0</v>
      </c>
      <c r="M17" s="16"/>
      <c r="N17" s="17"/>
    </row>
    <row r="18" spans="1:14" ht="18" customHeight="1" x14ac:dyDescent="0.2">
      <c r="A18" s="11"/>
      <c r="B18" s="11">
        <v>10</v>
      </c>
      <c r="C18" s="11"/>
      <c r="E18" s="12">
        <f t="shared" si="0"/>
        <v>44296</v>
      </c>
      <c r="F18" s="13" t="str">
        <f>VLOOKUP(MOD(E18,7),$P$9:Q24,2)</f>
        <v>שבת</v>
      </c>
      <c r="G18" s="14">
        <f ca="1">IFERROR(VLOOKUP(E18,'דוח ביצוע'!B:D,3,0),0)</f>
        <v>0</v>
      </c>
      <c r="H18" s="14">
        <f ca="1">IFERROR(VLOOKUP(E18,'דוח ביצוע'!B:E,4,0),0)</f>
        <v>0</v>
      </c>
      <c r="I18" s="35">
        <f t="shared" ca="1" si="1"/>
        <v>0</v>
      </c>
      <c r="J18" s="14" t="str">
        <f ca="1">IFERROR(VLOOKUP(E18,'דוח ביצוע'!B13:G50,6,0),"")</f>
        <v/>
      </c>
      <c r="K18" s="14" t="str">
        <f ca="1">IFERROR(VLOOKUP(E18,'דוח ביצוע'!$B$3:$H$36,7,0),"")</f>
        <v/>
      </c>
      <c r="L18" s="15">
        <f t="shared" ca="1" si="2"/>
        <v>0</v>
      </c>
      <c r="M18" s="16"/>
      <c r="N18" s="17"/>
    </row>
    <row r="19" spans="1:14" ht="18" customHeight="1" x14ac:dyDescent="0.2">
      <c r="A19" s="11"/>
      <c r="B19" s="11">
        <v>11</v>
      </c>
      <c r="C19" s="11"/>
      <c r="E19" s="12">
        <f t="shared" si="0"/>
        <v>44297</v>
      </c>
      <c r="F19" s="13" t="str">
        <f>VLOOKUP(MOD(E19,7),$P$9:Q25,2)</f>
        <v>ראשון</v>
      </c>
      <c r="G19" s="14">
        <f ca="1">IFERROR(VLOOKUP(E19,'דוח ביצוע'!B:D,3,0),0)</f>
        <v>0</v>
      </c>
      <c r="H19" s="14">
        <f ca="1">IFERROR(VLOOKUP(E19,'דוח ביצוע'!B:E,4,0),0)</f>
        <v>0</v>
      </c>
      <c r="I19" s="35">
        <f t="shared" ca="1" si="1"/>
        <v>0</v>
      </c>
      <c r="J19" s="14" t="str">
        <f ca="1">IFERROR(VLOOKUP(E19,'דוח ביצוע'!B14:G51,6,0),"")</f>
        <v/>
      </c>
      <c r="K19" s="14" t="str">
        <f ca="1">IFERROR(VLOOKUP(E19,'דוח ביצוע'!$B$3:$H$36,7,0),"")</f>
        <v/>
      </c>
      <c r="L19" s="15">
        <f t="shared" ca="1" si="2"/>
        <v>0</v>
      </c>
      <c r="M19" s="16"/>
      <c r="N19" s="17"/>
    </row>
    <row r="20" spans="1:14" ht="18" customHeight="1" x14ac:dyDescent="0.2">
      <c r="A20" s="11"/>
      <c r="B20" s="11">
        <v>12</v>
      </c>
      <c r="C20" s="11"/>
      <c r="E20" s="12">
        <f t="shared" si="0"/>
        <v>44298</v>
      </c>
      <c r="F20" s="13" t="str">
        <f>VLOOKUP(MOD(E20,7),$P$9:Q26,2)</f>
        <v>שני</v>
      </c>
      <c r="G20" s="14">
        <f ca="1">IFERROR(VLOOKUP(E20,'דוח ביצוע'!B:D,3,0),0)</f>
        <v>0</v>
      </c>
      <c r="H20" s="14">
        <f ca="1">IFERROR(VLOOKUP(E20,'דוח ביצוע'!B:E,4,0),0)</f>
        <v>0</v>
      </c>
      <c r="I20" s="35">
        <f t="shared" ca="1" si="1"/>
        <v>0</v>
      </c>
      <c r="J20" s="14" t="str">
        <f ca="1">IFERROR(VLOOKUP(E20,'דוח ביצוע'!B15:G52,6,0),"")</f>
        <v/>
      </c>
      <c r="K20" s="14" t="str">
        <f ca="1">IFERROR(VLOOKUP(E20,'דוח ביצוע'!$B$3:$H$36,7,0),"")</f>
        <v/>
      </c>
      <c r="L20" s="15">
        <f t="shared" ca="1" si="2"/>
        <v>0</v>
      </c>
      <c r="M20" s="16"/>
      <c r="N20" s="17"/>
    </row>
    <row r="21" spans="1:14" ht="18" customHeight="1" x14ac:dyDescent="0.2">
      <c r="A21" s="11"/>
      <c r="B21" s="11">
        <v>13</v>
      </c>
      <c r="C21" s="11"/>
      <c r="E21" s="12">
        <f t="shared" si="0"/>
        <v>44299</v>
      </c>
      <c r="F21" s="13" t="str">
        <f>VLOOKUP(MOD(E21,7),$P$9:Q27,2)</f>
        <v>שלישי</v>
      </c>
      <c r="G21" s="14">
        <f ca="1">IFERROR(VLOOKUP(E21,'דוח ביצוע'!B:D,3,0),0)</f>
        <v>0</v>
      </c>
      <c r="H21" s="14">
        <f ca="1">IFERROR(VLOOKUP(E21,'דוח ביצוע'!B:E,4,0),0)</f>
        <v>0</v>
      </c>
      <c r="I21" s="35">
        <f t="shared" ca="1" si="1"/>
        <v>0</v>
      </c>
      <c r="J21" s="14" t="str">
        <f ca="1">IFERROR(VLOOKUP(E21,'דוח ביצוע'!B17:G53,6,0),"")</f>
        <v/>
      </c>
      <c r="K21" s="14" t="str">
        <f ca="1">IFERROR(VLOOKUP(E21,'דוח ביצוע'!$B$3:$H$36,7,0),"")</f>
        <v/>
      </c>
      <c r="L21" s="15">
        <f t="shared" ca="1" si="2"/>
        <v>0</v>
      </c>
      <c r="M21" s="16"/>
      <c r="N21" s="17"/>
    </row>
    <row r="22" spans="1:14" ht="18" customHeight="1" x14ac:dyDescent="0.2">
      <c r="A22" s="11"/>
      <c r="B22" s="11">
        <v>14</v>
      </c>
      <c r="C22" s="11"/>
      <c r="E22" s="12">
        <f t="shared" si="0"/>
        <v>44300</v>
      </c>
      <c r="F22" s="13" t="str">
        <f>VLOOKUP(MOD(E22,7),$P$9:Q28,2)</f>
        <v>רביעי</v>
      </c>
      <c r="G22" s="14">
        <f ca="1">IFERROR(VLOOKUP(E22,'דוח ביצוע'!B:D,3,0),0)</f>
        <v>0</v>
      </c>
      <c r="H22" s="14">
        <f ca="1">IFERROR(VLOOKUP(E22,'דוח ביצוע'!B:E,4,0),0)</f>
        <v>0</v>
      </c>
      <c r="I22" s="35">
        <f t="shared" ca="1" si="1"/>
        <v>0</v>
      </c>
      <c r="J22" s="14" t="str">
        <f ca="1">IFERROR(VLOOKUP(E22,'דוח ביצוע'!B18:G54,6,0),"")</f>
        <v/>
      </c>
      <c r="K22" s="14" t="str">
        <f ca="1">IFERROR(VLOOKUP(E22,'דוח ביצוע'!$B$3:$H$36,7,0),"")</f>
        <v/>
      </c>
      <c r="L22" s="15">
        <f t="shared" ca="1" si="2"/>
        <v>0</v>
      </c>
      <c r="M22" s="16"/>
      <c r="N22" s="17"/>
    </row>
    <row r="23" spans="1:14" ht="18" customHeight="1" x14ac:dyDescent="0.2">
      <c r="A23" s="11"/>
      <c r="B23" s="11">
        <v>15</v>
      </c>
      <c r="C23" s="11"/>
      <c r="E23" s="12">
        <f t="shared" si="0"/>
        <v>44301</v>
      </c>
      <c r="F23" s="13" t="str">
        <f>VLOOKUP(MOD(E23,7),$P$9:Q29,2)</f>
        <v>חמישי</v>
      </c>
      <c r="G23" s="14">
        <f ca="1">IFERROR(VLOOKUP(E23,'דוח ביצוע'!B:D,3,0),0)</f>
        <v>0</v>
      </c>
      <c r="H23" s="14">
        <f ca="1">IFERROR(VLOOKUP(E23,'דוח ביצוע'!B:E,4,0),0)</f>
        <v>0</v>
      </c>
      <c r="I23" s="35">
        <f t="shared" ca="1" si="1"/>
        <v>0</v>
      </c>
      <c r="J23" s="14" t="str">
        <f ca="1">IFERROR(VLOOKUP(E23,'דוח ביצוע'!B19:G55,6,0),"")</f>
        <v/>
      </c>
      <c r="K23" s="14" t="str">
        <f ca="1">IFERROR(VLOOKUP(E23,'דוח ביצוע'!$B$3:$H$36,7,0),"")</f>
        <v/>
      </c>
      <c r="L23" s="15">
        <f t="shared" ca="1" si="2"/>
        <v>0</v>
      </c>
      <c r="M23" s="16"/>
      <c r="N23" s="17"/>
    </row>
    <row r="24" spans="1:14" ht="18" customHeight="1" x14ac:dyDescent="0.2">
      <c r="A24" s="11"/>
      <c r="B24" s="11">
        <v>16</v>
      </c>
      <c r="C24" s="11"/>
      <c r="E24" s="12">
        <f t="shared" si="0"/>
        <v>44302</v>
      </c>
      <c r="F24" s="13" t="str">
        <f>VLOOKUP(MOD(E24,7),$P$9:Q30,2)</f>
        <v>שישי</v>
      </c>
      <c r="G24" s="14">
        <f ca="1">IFERROR(VLOOKUP(E24,'דוח ביצוע'!B:D,3,0),0)</f>
        <v>0</v>
      </c>
      <c r="H24" s="14">
        <f ca="1">IFERROR(VLOOKUP(E24,'דוח ביצוע'!B:E,4,0),0)</f>
        <v>0</v>
      </c>
      <c r="I24" s="35">
        <f ca="1">IFERROR(24*(K24-J24),0)</f>
        <v>0</v>
      </c>
      <c r="J24" s="14">
        <f ca="1">IFERROR(VLOOKUP(E24,'דוח ביצוע'!B:D,3,0),0)</f>
        <v>0</v>
      </c>
      <c r="K24" s="14">
        <f ca="1">IFERROR(VLOOKUP(E24,'דוח ביצוע'!B:E,4,0),0)</f>
        <v>0</v>
      </c>
      <c r="L24" s="15">
        <f t="shared" ca="1" si="2"/>
        <v>0</v>
      </c>
      <c r="M24" s="16"/>
      <c r="N24" s="17"/>
    </row>
    <row r="25" spans="1:14" ht="18" customHeight="1" x14ac:dyDescent="0.2">
      <c r="A25" s="11"/>
      <c r="B25" s="11">
        <v>17</v>
      </c>
      <c r="C25" s="11"/>
      <c r="E25" s="12">
        <f t="shared" si="0"/>
        <v>44303</v>
      </c>
      <c r="F25" s="13" t="str">
        <f>VLOOKUP(MOD(E25,7),$P$9:Q31,2)</f>
        <v>שבת</v>
      </c>
      <c r="G25" s="14">
        <f ca="1">IFERROR(VLOOKUP(E25,'דוח ביצוע'!B:D,3,0),0)</f>
        <v>0</v>
      </c>
      <c r="H25" s="14">
        <f ca="1">IFERROR(VLOOKUP(E25,'דוח ביצוע'!B:E,4,0),0)</f>
        <v>0</v>
      </c>
      <c r="I25" s="35">
        <f t="shared" ca="1" si="1"/>
        <v>0</v>
      </c>
      <c r="J25" s="14" t="str">
        <f ca="1">IFERROR(VLOOKUP(E25,'דוח ביצוע'!B21:G57,6,0),"")</f>
        <v/>
      </c>
      <c r="K25" s="14" t="str">
        <f ca="1">IFERROR(VLOOKUP(E25,'דוח ביצוע'!$B$3:$H$36,7,0),"")</f>
        <v/>
      </c>
      <c r="L25" s="15">
        <f t="shared" ca="1" si="2"/>
        <v>0</v>
      </c>
      <c r="M25" s="16"/>
      <c r="N25" s="17"/>
    </row>
    <row r="26" spans="1:14" ht="18" customHeight="1" x14ac:dyDescent="0.2">
      <c r="A26" s="11"/>
      <c r="B26" s="11">
        <v>18</v>
      </c>
      <c r="C26" s="11"/>
      <c r="E26" s="12">
        <f t="shared" si="0"/>
        <v>44304</v>
      </c>
      <c r="F26" s="13" t="str">
        <f>VLOOKUP(MOD(E26,7),$P$9:Q32,2)</f>
        <v>ראשון</v>
      </c>
      <c r="G26" s="14">
        <f ca="1">IFERROR(VLOOKUP(E26,'דוח ביצוע'!B:D,3,0),0)</f>
        <v>0</v>
      </c>
      <c r="H26" s="14">
        <f ca="1">IFERROR(VLOOKUP(E26,'דוח ביצוע'!B:E,4,0),0)</f>
        <v>0</v>
      </c>
      <c r="I26" s="35">
        <f t="shared" ca="1" si="1"/>
        <v>0</v>
      </c>
      <c r="J26" s="14" t="str">
        <f ca="1">IFERROR(VLOOKUP(E26,'דוח ביצוע'!B22:G58,6,0),"")</f>
        <v/>
      </c>
      <c r="K26" s="14" t="str">
        <f ca="1">IFERROR(VLOOKUP(E26,'דוח ביצוע'!$B$3:$H$36,7,0),"")</f>
        <v/>
      </c>
      <c r="L26" s="15">
        <f t="shared" ca="1" si="2"/>
        <v>0</v>
      </c>
      <c r="M26" s="16"/>
      <c r="N26" s="17"/>
    </row>
    <row r="27" spans="1:14" ht="18" customHeight="1" x14ac:dyDescent="0.2">
      <c r="A27" s="11"/>
      <c r="B27" s="11">
        <v>19</v>
      </c>
      <c r="C27" s="11"/>
      <c r="E27" s="12">
        <f t="shared" si="0"/>
        <v>44305</v>
      </c>
      <c r="F27" s="13" t="str">
        <f>VLOOKUP(MOD(E27,7),$P$9:Q33,2)</f>
        <v>שני</v>
      </c>
      <c r="G27" s="14">
        <f ca="1">IFERROR(VLOOKUP(E27,'דוח ביצוע'!B:D,3,0),0)</f>
        <v>0</v>
      </c>
      <c r="H27" s="14">
        <f ca="1">IFERROR(VLOOKUP(E27,'דוח ביצוע'!B:E,4,0),0)</f>
        <v>0</v>
      </c>
      <c r="I27" s="35">
        <f t="shared" ca="1" si="1"/>
        <v>0</v>
      </c>
      <c r="J27" s="14" t="str">
        <f ca="1">IFERROR(VLOOKUP(E27,'דוח ביצוע'!B23:G59,6,0),"")</f>
        <v/>
      </c>
      <c r="K27" s="14" t="str">
        <f ca="1">IFERROR(VLOOKUP(E27,'דוח ביצוע'!$B$3:$H$36,7,0),"")</f>
        <v/>
      </c>
      <c r="L27" s="15">
        <f t="shared" ca="1" si="2"/>
        <v>0</v>
      </c>
      <c r="M27" s="16"/>
      <c r="N27" s="17"/>
    </row>
    <row r="28" spans="1:14" ht="18" customHeight="1" x14ac:dyDescent="0.2">
      <c r="A28" s="11"/>
      <c r="B28" s="11">
        <v>20</v>
      </c>
      <c r="C28" s="11"/>
      <c r="E28" s="12">
        <f t="shared" si="0"/>
        <v>44306</v>
      </c>
      <c r="F28" s="13" t="str">
        <f>VLOOKUP(MOD(E28,7),$P$9:Q34,2)</f>
        <v>שלישי</v>
      </c>
      <c r="G28" s="14">
        <f ca="1">IFERROR(VLOOKUP(E28,'דוח ביצוע'!B:D,3,0),0)</f>
        <v>0</v>
      </c>
      <c r="H28" s="14">
        <f ca="1">IFERROR(VLOOKUP(E28,'דוח ביצוע'!B:E,4,0),0)</f>
        <v>0</v>
      </c>
      <c r="I28" s="35">
        <f t="shared" ca="1" si="1"/>
        <v>0</v>
      </c>
      <c r="J28" s="14" t="str">
        <f ca="1">IFERROR(VLOOKUP(E28,'דוח ביצוע'!B24:G60,6,0),"")</f>
        <v/>
      </c>
      <c r="K28" s="14" t="str">
        <f ca="1">IFERROR(VLOOKUP(E28,'דוח ביצוע'!$B$3:$H$36,7,0),"")</f>
        <v/>
      </c>
      <c r="L28" s="15">
        <f t="shared" ca="1" si="2"/>
        <v>0</v>
      </c>
      <c r="M28" s="16"/>
      <c r="N28" s="17"/>
    </row>
    <row r="29" spans="1:14" ht="18" customHeight="1" x14ac:dyDescent="0.2">
      <c r="A29" s="11"/>
      <c r="B29" s="11">
        <v>21</v>
      </c>
      <c r="C29" s="11"/>
      <c r="E29" s="12">
        <f t="shared" si="0"/>
        <v>44307</v>
      </c>
      <c r="F29" s="13" t="str">
        <f>VLOOKUP(MOD(E29,7),$P$9:Q35,2)</f>
        <v>רביעי</v>
      </c>
      <c r="G29" s="14">
        <f ca="1">IFERROR(VLOOKUP(E29,'דוח ביצוע'!B:D,3,0),0)</f>
        <v>0</v>
      </c>
      <c r="H29" s="14">
        <f ca="1">IFERROR(VLOOKUP(E29,'דוח ביצוע'!B:E,4,0),0)</f>
        <v>0</v>
      </c>
      <c r="I29" s="35">
        <f t="shared" ca="1" si="1"/>
        <v>0</v>
      </c>
      <c r="J29" s="14" t="str">
        <f ca="1">IFERROR(VLOOKUP(E29,'דוח ביצוע'!B26:G61,6,0),"")</f>
        <v/>
      </c>
      <c r="K29" s="14" t="str">
        <f ca="1">IFERROR(VLOOKUP(E29,'דוח ביצוע'!$B$3:$H$36,7,0),"")</f>
        <v/>
      </c>
      <c r="L29" s="15">
        <f t="shared" ca="1" si="2"/>
        <v>0</v>
      </c>
      <c r="M29" s="16"/>
      <c r="N29" s="17"/>
    </row>
    <row r="30" spans="1:14" ht="18" customHeight="1" x14ac:dyDescent="0.2">
      <c r="A30" s="11"/>
      <c r="B30" s="11">
        <v>22</v>
      </c>
      <c r="C30" s="11"/>
      <c r="E30" s="12">
        <f t="shared" si="0"/>
        <v>44308</v>
      </c>
      <c r="F30" s="13" t="str">
        <f>VLOOKUP(MOD(E30,7),$P$9:Q36,2)</f>
        <v>חמישי</v>
      </c>
      <c r="G30" s="14">
        <f ca="1">IFERROR(VLOOKUP(E30,'דוח ביצוע'!B:D,3,0),0)</f>
        <v>0</v>
      </c>
      <c r="H30" s="14">
        <f ca="1">IFERROR(VLOOKUP(E30,'דוח ביצוע'!B:E,4,0),0)</f>
        <v>0</v>
      </c>
      <c r="I30" s="35">
        <f t="shared" ca="1" si="1"/>
        <v>0</v>
      </c>
      <c r="J30" s="14" t="str">
        <f ca="1">IFERROR(VLOOKUP(E30,'דוח ביצוע'!B27:G62,6,0),"")</f>
        <v/>
      </c>
      <c r="K30" s="14" t="str">
        <f ca="1">IFERROR(VLOOKUP(E30,'דוח ביצוע'!$B$3:$H$36,7,0),"")</f>
        <v/>
      </c>
      <c r="L30" s="15">
        <f t="shared" ca="1" si="2"/>
        <v>0</v>
      </c>
      <c r="M30" s="16"/>
      <c r="N30" s="17"/>
    </row>
    <row r="31" spans="1:14" ht="18" customHeight="1" x14ac:dyDescent="0.2">
      <c r="A31" s="11"/>
      <c r="B31" s="11">
        <v>23</v>
      </c>
      <c r="C31" s="11"/>
      <c r="E31" s="12">
        <f t="shared" si="0"/>
        <v>44309</v>
      </c>
      <c r="F31" s="13" t="str">
        <f>VLOOKUP(MOD(E31,7),$P$9:Q37,2)</f>
        <v>שישי</v>
      </c>
      <c r="G31" s="14">
        <f ca="1">IFERROR(VLOOKUP(E31,'דוח ביצוע'!B:D,3,0),0)</f>
        <v>0</v>
      </c>
      <c r="H31" s="14">
        <f ca="1">IFERROR(VLOOKUP(E31,'דוח ביצוע'!B:E,4,0),0)</f>
        <v>0</v>
      </c>
      <c r="I31" s="35">
        <f t="shared" ca="1" si="1"/>
        <v>0</v>
      </c>
      <c r="J31" s="14" t="str">
        <f ca="1">IFERROR(VLOOKUP(E31,'דוח ביצוע'!B28:G63,6,0),"")</f>
        <v/>
      </c>
      <c r="K31" s="14" t="str">
        <f ca="1">IFERROR(VLOOKUP(E31,'דוח ביצוע'!$B$3:$H$36,7,0),"")</f>
        <v/>
      </c>
      <c r="L31" s="15">
        <f t="shared" ca="1" si="2"/>
        <v>0</v>
      </c>
      <c r="M31" s="16"/>
      <c r="N31" s="17"/>
    </row>
    <row r="32" spans="1:14" ht="18" customHeight="1" x14ac:dyDescent="0.2">
      <c r="A32" s="11"/>
      <c r="B32" s="11">
        <v>24</v>
      </c>
      <c r="C32" s="11"/>
      <c r="E32" s="12">
        <f t="shared" si="0"/>
        <v>44310</v>
      </c>
      <c r="F32" s="13" t="str">
        <f>VLOOKUP(MOD(E32,7),$P$9:Q38,2)</f>
        <v>שבת</v>
      </c>
      <c r="G32" s="14">
        <f ca="1">IFERROR(VLOOKUP(E32,'דוח ביצוע'!B:D,3,0),0)</f>
        <v>0</v>
      </c>
      <c r="H32" s="14">
        <f ca="1">IFERROR(VLOOKUP(E32,'דוח ביצוע'!B:E,4,0),0)</f>
        <v>0</v>
      </c>
      <c r="I32" s="35">
        <f t="shared" ca="1" si="1"/>
        <v>0</v>
      </c>
      <c r="J32" s="14" t="str">
        <f ca="1">IFERROR(VLOOKUP(E32,'דוח ביצוע'!B29:G64,6,0),"")</f>
        <v/>
      </c>
      <c r="K32" s="14" t="str">
        <f ca="1">IFERROR(VLOOKUP(E32,'דוח ביצוע'!$B$3:$H$36,7,0),"")</f>
        <v/>
      </c>
      <c r="L32" s="15">
        <f t="shared" ca="1" si="2"/>
        <v>0</v>
      </c>
      <c r="M32" s="16"/>
      <c r="N32" s="17"/>
    </row>
    <row r="33" spans="1:17" ht="18" customHeight="1" x14ac:dyDescent="0.2">
      <c r="A33" s="11"/>
      <c r="B33" s="11">
        <v>25</v>
      </c>
      <c r="C33" s="11"/>
      <c r="E33" s="12">
        <f t="shared" si="0"/>
        <v>44311</v>
      </c>
      <c r="F33" s="13" t="str">
        <f>VLOOKUP(MOD(E33,7),$P$9:Q38,2)</f>
        <v>ראשון</v>
      </c>
      <c r="G33" s="14">
        <f ca="1">IFERROR(VLOOKUP(E33,'דוח ביצוע'!B:D,3,0),0)</f>
        <v>0</v>
      </c>
      <c r="H33" s="14">
        <f ca="1">IFERROR(VLOOKUP(E33,'דוח ביצוע'!B:E,4,0),0)</f>
        <v>0</v>
      </c>
      <c r="I33" s="35">
        <f t="shared" ca="1" si="1"/>
        <v>0</v>
      </c>
      <c r="J33" s="14" t="str">
        <f ca="1">IFERROR(VLOOKUP(E33,'דוח ביצוע'!B30:G65,6,0),"")</f>
        <v/>
      </c>
      <c r="K33" s="14" t="str">
        <f ca="1">IFERROR(VLOOKUP(E33,'דוח ביצוע'!$B$3:$H$36,7,0),"")</f>
        <v/>
      </c>
      <c r="L33" s="15">
        <f t="shared" ca="1" si="2"/>
        <v>0</v>
      </c>
      <c r="M33" s="16"/>
      <c r="N33" s="17"/>
    </row>
    <row r="34" spans="1:17" ht="18" customHeight="1" x14ac:dyDescent="0.2">
      <c r="A34" s="11"/>
      <c r="B34" s="11">
        <v>26</v>
      </c>
      <c r="C34" s="11"/>
      <c r="E34" s="12">
        <f t="shared" si="0"/>
        <v>44312</v>
      </c>
      <c r="F34" s="13" t="str">
        <f>VLOOKUP(MOD(E34,7),$P$9:Q41,2)</f>
        <v>שני</v>
      </c>
      <c r="G34" s="14">
        <f ca="1">IFERROR(VLOOKUP(E34,'דוח ביצוע'!B:D,3,0),0)</f>
        <v>0</v>
      </c>
      <c r="H34" s="14">
        <f ca="1">IFERROR(VLOOKUP(E34,'דוח ביצוע'!B:E,4,0),0)</f>
        <v>0</v>
      </c>
      <c r="I34" s="35">
        <f t="shared" ca="1" si="1"/>
        <v>0</v>
      </c>
      <c r="J34" s="14" t="str">
        <f ca="1">IFERROR(VLOOKUP(E34,'דוח ביצוע'!B31:G66,6,0),"")</f>
        <v/>
      </c>
      <c r="K34" s="14" t="str">
        <f ca="1">IFERROR(VLOOKUP(E34,'דוח ביצוע'!$B$3:$H$36,7,0),"")</f>
        <v/>
      </c>
      <c r="L34" s="15">
        <f t="shared" ca="1" si="2"/>
        <v>0</v>
      </c>
      <c r="M34" s="16"/>
      <c r="N34" s="17"/>
    </row>
    <row r="35" spans="1:17" ht="18" customHeight="1" x14ac:dyDescent="0.2">
      <c r="A35" s="11"/>
      <c r="B35" s="11">
        <v>27</v>
      </c>
      <c r="C35" s="11"/>
      <c r="E35" s="12">
        <f t="shared" si="0"/>
        <v>44313</v>
      </c>
      <c r="F35" s="13" t="str">
        <f>VLOOKUP(MOD(E35,7),$P$9:Q41,2)</f>
        <v>שלישי</v>
      </c>
      <c r="G35" s="14">
        <f ca="1">IFERROR(VLOOKUP(E35,'דוח ביצוע'!B:D,3,0),0)</f>
        <v>0</v>
      </c>
      <c r="H35" s="14">
        <f ca="1">IFERROR(VLOOKUP(E35,'דוח ביצוע'!B:E,4,0),0)</f>
        <v>0</v>
      </c>
      <c r="I35" s="35">
        <f t="shared" ca="1" si="1"/>
        <v>0</v>
      </c>
      <c r="J35" s="14" t="str">
        <f ca="1">IFERROR(VLOOKUP(E35,'דוח ביצוע'!B32:G67,6,0),"")</f>
        <v/>
      </c>
      <c r="K35" s="14" t="str">
        <f ca="1">IFERROR(VLOOKUP(E35,'דוח ביצוע'!$B$3:$H$36,7,0),"")</f>
        <v/>
      </c>
      <c r="L35" s="15">
        <f t="shared" ca="1" si="2"/>
        <v>0</v>
      </c>
      <c r="M35" s="16"/>
      <c r="N35" s="17"/>
    </row>
    <row r="36" spans="1:17" ht="18" customHeight="1" x14ac:dyDescent="0.2">
      <c r="A36" s="11"/>
      <c r="B36" s="11">
        <v>28</v>
      </c>
      <c r="C36" s="11"/>
      <c r="E36" s="12">
        <f t="shared" si="0"/>
        <v>44314</v>
      </c>
      <c r="F36" s="13" t="str">
        <f>VLOOKUP(MOD(E36,7),$P$9:Q41,2)</f>
        <v>רביעי</v>
      </c>
      <c r="G36" s="14">
        <f ca="1">IFERROR(VLOOKUP(E36,'דוח ביצוע'!B:D,3,0),0)</f>
        <v>0</v>
      </c>
      <c r="H36" s="14">
        <f ca="1">IFERROR(VLOOKUP(E36,'דוח ביצוע'!B:E,4,0),0)</f>
        <v>0</v>
      </c>
      <c r="I36" s="35">
        <f t="shared" ca="1" si="1"/>
        <v>0</v>
      </c>
      <c r="J36" s="14" t="str">
        <f ca="1">IFERROR(VLOOKUP(E36,'דוח ביצוע'!B33:G68,6,0),"")</f>
        <v/>
      </c>
      <c r="K36" s="14" t="str">
        <f ca="1">IFERROR(VLOOKUP(E36,'דוח ביצוע'!$B$3:$H$36,7,0),"")</f>
        <v/>
      </c>
      <c r="L36" s="15">
        <f t="shared" ca="1" si="2"/>
        <v>0</v>
      </c>
      <c r="M36" s="16"/>
      <c r="N36" s="17"/>
      <c r="P36" s="19"/>
    </row>
    <row r="37" spans="1:17" ht="18" customHeight="1" x14ac:dyDescent="0.2">
      <c r="A37" s="12">
        <f>DATE($F$3,$F$4,B37)</f>
        <v>44315</v>
      </c>
      <c r="B37" s="11">
        <v>29</v>
      </c>
      <c r="C37" s="11" t="b">
        <f>+MONTH(E36)=MONTH(A37)</f>
        <v>1</v>
      </c>
      <c r="E37" s="12">
        <f>IF(C37=TRUE,DATE($F$3,$F$4,B37),0)</f>
        <v>44315</v>
      </c>
      <c r="F37" s="13" t="str">
        <f>IF(C37=TRUE,VLOOKUP(MOD(E37,7),$P$9:Q41,2),0)</f>
        <v>חמישי</v>
      </c>
      <c r="G37" s="14">
        <f ca="1">IFERROR(VLOOKUP(E37,'דוח ביצוע'!B:D,3,0),0)</f>
        <v>0</v>
      </c>
      <c r="H37" s="14">
        <f ca="1">IFERROR(VLOOKUP(E37,'דוח ביצוע'!B:E,4,0),0)</f>
        <v>0</v>
      </c>
      <c r="I37" s="35">
        <f t="shared" ca="1" si="1"/>
        <v>0</v>
      </c>
      <c r="J37" s="14" t="str">
        <f ca="1">IFERROR(VLOOKUP(E37,'דוח ביצוע'!B34:G69,6,0),"")</f>
        <v/>
      </c>
      <c r="K37" s="14" t="str">
        <f ca="1">IFERROR(VLOOKUP(E37,'דוח ביצוע'!$B$3:$H$36,7,0),"")</f>
        <v/>
      </c>
      <c r="L37" s="15">
        <f t="shared" ca="1" si="2"/>
        <v>0</v>
      </c>
      <c r="M37" s="16"/>
      <c r="N37" s="17"/>
      <c r="P37" s="19"/>
      <c r="Q37" s="20"/>
    </row>
    <row r="38" spans="1:17" ht="18" customHeight="1" x14ac:dyDescent="0.2">
      <c r="A38" s="12">
        <f>DATE($F$3,$F$4,B38)</f>
        <v>44316</v>
      </c>
      <c r="B38" s="11">
        <v>30</v>
      </c>
      <c r="C38" s="11" t="b">
        <f>+MONTH(E36)=MONTH(A38)</f>
        <v>1</v>
      </c>
      <c r="E38" s="12">
        <f>IF(C38=TRUE,DATE($F$3,$F$4,B38),0)</f>
        <v>44316</v>
      </c>
      <c r="F38" s="13" t="str">
        <f>IF(C38=TRUE,VLOOKUP(MOD(E38,7),$P$9:Q42,2),0)</f>
        <v>שישי</v>
      </c>
      <c r="G38" s="14">
        <f ca="1">IFERROR(VLOOKUP(E38,'דוח ביצוע'!B:D,3,0),0)</f>
        <v>0</v>
      </c>
      <c r="H38" s="14">
        <f ca="1">IFERROR(VLOOKUP(E38,'דוח ביצוע'!B:E,4,0),0)</f>
        <v>0</v>
      </c>
      <c r="I38" s="35">
        <f t="shared" ca="1" si="1"/>
        <v>0</v>
      </c>
      <c r="J38" s="14" t="str">
        <f ca="1">IFERROR(VLOOKUP(E38,'דוח ביצוע'!B35:G70,6,0),"")</f>
        <v/>
      </c>
      <c r="K38" s="14" t="str">
        <f ca="1">IFERROR(VLOOKUP(E38,'דוח ביצוע'!$B$3:$H$36,7,0),"")</f>
        <v/>
      </c>
      <c r="L38" s="15">
        <f t="shared" ca="1" si="2"/>
        <v>0</v>
      </c>
      <c r="M38" s="16"/>
      <c r="N38" s="17"/>
      <c r="P38" s="19"/>
    </row>
    <row r="39" spans="1:17" ht="18" customHeight="1" x14ac:dyDescent="0.2">
      <c r="E39" s="21"/>
      <c r="F39" s="22"/>
      <c r="G39" s="23"/>
      <c r="H39" s="23"/>
      <c r="I39" s="24"/>
      <c r="J39" s="23"/>
      <c r="K39" s="23"/>
      <c r="L39" s="24"/>
      <c r="M39" s="25"/>
      <c r="N39" s="10"/>
    </row>
    <row r="40" spans="1:17" ht="18" customHeight="1" x14ac:dyDescent="0.2">
      <c r="F40" s="22"/>
      <c r="G40" s="23"/>
      <c r="H40" s="23"/>
      <c r="I40" s="24"/>
      <c r="J40" s="23"/>
      <c r="K40" s="23"/>
      <c r="L40" s="24"/>
      <c r="M40" s="25"/>
      <c r="N40" s="10"/>
    </row>
    <row r="41" spans="1:17" s="2" customFormat="1" ht="24.95" customHeight="1" x14ac:dyDescent="0.2">
      <c r="G41" s="146" t="s">
        <v>22</v>
      </c>
      <c r="H41" s="147"/>
      <c r="I41" s="26">
        <f ca="1">SUM(I9:I38)</f>
        <v>0</v>
      </c>
      <c r="L41" s="148" t="s">
        <v>23</v>
      </c>
      <c r="M41" s="149"/>
      <c r="N41" s="27"/>
      <c r="O41" s="28"/>
    </row>
    <row r="42" spans="1:17" s="2" customFormat="1" ht="24.95" customHeight="1" x14ac:dyDescent="0.15">
      <c r="G42" s="146" t="s">
        <v>24</v>
      </c>
      <c r="H42" s="147"/>
      <c r="I42" s="26">
        <f ca="1">SUM(L9:L38)</f>
        <v>0</v>
      </c>
      <c r="L42" s="148" t="s">
        <v>25</v>
      </c>
      <c r="M42" s="149"/>
      <c r="N42" s="17"/>
      <c r="O42" s="28"/>
    </row>
    <row r="43" spans="1:17" s="2" customFormat="1" ht="24.95" customHeight="1" x14ac:dyDescent="0.15">
      <c r="G43" s="146" t="s">
        <v>26</v>
      </c>
      <c r="H43" s="147"/>
      <c r="I43" s="29">
        <f>COUNTA(M9:M38)</f>
        <v>0</v>
      </c>
      <c r="L43" s="148" t="s">
        <v>27</v>
      </c>
      <c r="M43" s="149"/>
      <c r="N43" s="17"/>
      <c r="O43" s="28"/>
    </row>
    <row r="44" spans="1:17" ht="18" customHeight="1" x14ac:dyDescent="0.2"/>
  </sheetData>
  <mergeCells count="10">
    <mergeCell ref="I3:K3"/>
    <mergeCell ref="I4:K4"/>
    <mergeCell ref="G7:I7"/>
    <mergeCell ref="J7:L7"/>
    <mergeCell ref="G43:H43"/>
    <mergeCell ref="L43:M43"/>
    <mergeCell ref="G41:H41"/>
    <mergeCell ref="L41:M41"/>
    <mergeCell ref="G42:H42"/>
    <mergeCell ref="L42:M42"/>
  </mergeCells>
  <dataValidations count="5">
    <dataValidation type="whole" allowBlank="1" showInputMessage="1" showErrorMessage="1" sqref="F3" xr:uid="{00000000-0002-0000-0600-000000000000}">
      <formula1>2002</formula1>
      <formula2>2100</formula2>
    </dataValidation>
    <dataValidation type="whole" allowBlank="1" showInputMessage="1" showErrorMessage="1" sqref="F4" xr:uid="{00000000-0002-0000-0600-000001000000}">
      <formula1>1</formula1>
      <formula2>12</formula2>
    </dataValidation>
    <dataValidation type="whole" allowBlank="1" showInputMessage="1" showErrorMessage="1" sqref="F5" xr:uid="{00000000-0002-0000-0600-000002000000}">
      <formula1>150</formula1>
      <formula2>216</formula2>
    </dataValidation>
    <dataValidation type="list" allowBlank="1" showInputMessage="1" showErrorMessage="1" sqref="M9:M40" xr:uid="{00000000-0002-0000-0600-000003000000}">
      <formula1>$R$9:$R$10</formula1>
    </dataValidation>
    <dataValidation type="time" allowBlank="1" showInputMessage="1" showErrorMessage="1" sqref="J39:K40 J24:K24 G9:H40" xr:uid="{00000000-0002-0000-0600-000004000000}">
      <formula1>0</formula1>
      <formula2>0.999305555555556</formula2>
    </dataValidation>
  </dataValidations>
  <pageMargins left="0.7" right="0.7" top="0.75" bottom="0.75" header="0.3" footer="0.3"/>
  <pageSetup paperSize="9" scale="75" orientation="portrait" r:id="rId1"/>
  <ignoredErrors>
    <ignoredError sqref="H9" unlocked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גיליון6">
    <pageSetUpPr fitToPage="1"/>
  </sheetPr>
  <dimension ref="A1:R45"/>
  <sheetViews>
    <sheetView rightToLeft="1" topLeftCell="D1" zoomScaleNormal="100" workbookViewId="0">
      <selection activeCell="I4" sqref="I4:K4"/>
    </sheetView>
  </sheetViews>
  <sheetFormatPr defaultColWidth="9.140625" defaultRowHeight="12.75" x14ac:dyDescent="0.2"/>
  <cols>
    <col min="1" max="3" width="3.42578125" style="1" hidden="1" customWidth="1"/>
    <col min="4" max="4" width="2.85546875" style="1" customWidth="1"/>
    <col min="5" max="5" width="12.28515625" style="1" customWidth="1"/>
    <col min="6" max="6" width="9.28515625" style="1" customWidth="1"/>
    <col min="7" max="7" width="7.42578125" style="1" customWidth="1"/>
    <col min="8" max="8" width="11.140625" style="1" customWidth="1"/>
    <col min="9" max="12" width="8.7109375" style="1" customWidth="1"/>
    <col min="13" max="13" width="11.7109375" style="1" customWidth="1"/>
    <col min="14" max="14" width="19.42578125" style="1" customWidth="1"/>
    <col min="15" max="15" width="2.28515625" style="1" hidden="1" customWidth="1"/>
    <col min="16" max="16" width="2.42578125" style="1" hidden="1" customWidth="1"/>
    <col min="17" max="17" width="8.28515625" style="1" hidden="1" customWidth="1"/>
    <col min="18" max="18" width="2.5703125" style="1" hidden="1" customWidth="1"/>
    <col min="19" max="19" width="0" style="1" hidden="1" customWidth="1"/>
    <col min="20" max="16384" width="9.140625" style="1"/>
  </cols>
  <sheetData>
    <row r="1" spans="1:18" ht="15.95" customHeight="1" x14ac:dyDescent="0.2"/>
    <row r="2" spans="1:18" ht="15.95" customHeight="1" x14ac:dyDescent="0.2"/>
    <row r="3" spans="1:18" s="2" customFormat="1" ht="21.95" customHeight="1" x14ac:dyDescent="0.2">
      <c r="E3" s="3" t="s">
        <v>0</v>
      </c>
      <c r="F3" s="4">
        <v>2021</v>
      </c>
      <c r="H3" s="3" t="s">
        <v>1</v>
      </c>
      <c r="I3" s="150"/>
      <c r="J3" s="151"/>
      <c r="K3" s="152"/>
    </row>
    <row r="4" spans="1:18" s="2" customFormat="1" ht="21.95" customHeight="1" x14ac:dyDescent="0.2">
      <c r="E4" s="3" t="s">
        <v>2</v>
      </c>
      <c r="F4" s="4">
        <v>5</v>
      </c>
      <c r="H4" s="3" t="s">
        <v>3</v>
      </c>
      <c r="I4" s="150"/>
      <c r="J4" s="151"/>
      <c r="K4" s="152"/>
    </row>
    <row r="5" spans="1:18" s="2" customFormat="1" ht="21.95" customHeight="1" x14ac:dyDescent="0.2">
      <c r="E5" s="5" t="s">
        <v>4</v>
      </c>
      <c r="F5" s="4"/>
      <c r="H5" s="6"/>
      <c r="I5" s="7"/>
      <c r="J5" s="7"/>
      <c r="K5" s="7"/>
    </row>
    <row r="6" spans="1:18" ht="18" customHeight="1" x14ac:dyDescent="0.2"/>
    <row r="7" spans="1:18" ht="18" customHeight="1" x14ac:dyDescent="0.2">
      <c r="G7" s="153" t="s">
        <v>5</v>
      </c>
      <c r="H7" s="153"/>
      <c r="I7" s="153"/>
      <c r="J7" s="153" t="s">
        <v>6</v>
      </c>
      <c r="K7" s="153"/>
      <c r="L7" s="153"/>
    </row>
    <row r="8" spans="1:18" ht="34.5" x14ac:dyDescent="0.2">
      <c r="E8" s="8" t="s">
        <v>7</v>
      </c>
      <c r="F8" s="8" t="s">
        <v>8</v>
      </c>
      <c r="G8" s="8" t="s">
        <v>9</v>
      </c>
      <c r="H8" s="8" t="s">
        <v>10</v>
      </c>
      <c r="I8" s="8" t="s">
        <v>11</v>
      </c>
      <c r="J8" s="8" t="s">
        <v>9</v>
      </c>
      <c r="K8" s="8" t="s">
        <v>10</v>
      </c>
      <c r="L8" s="8" t="s">
        <v>11</v>
      </c>
      <c r="M8" s="8" t="s">
        <v>12</v>
      </c>
      <c r="N8" s="8" t="s">
        <v>13</v>
      </c>
      <c r="Q8" s="9" t="s">
        <v>8</v>
      </c>
      <c r="R8" s="10"/>
    </row>
    <row r="9" spans="1:18" ht="18" customHeight="1" x14ac:dyDescent="0.2">
      <c r="A9" s="11"/>
      <c r="B9" s="11">
        <v>1</v>
      </c>
      <c r="C9" s="11"/>
      <c r="E9" s="12">
        <f>DATE($F$3,$F$4,B9)</f>
        <v>44317</v>
      </c>
      <c r="F9" s="13" t="str">
        <f>VLOOKUP(MOD(E9,7),$P$9:Q15,2)</f>
        <v>שבת</v>
      </c>
      <c r="G9" s="14"/>
      <c r="H9" s="14"/>
      <c r="I9" s="15">
        <f>IFERROR(24*(H9-G9),"")</f>
        <v>0</v>
      </c>
      <c r="J9" s="14" t="str">
        <f ca="1">IFERROR(VLOOKUP(E9,'דוח ביצוע'!$B$3:$G$36,6,0),"")</f>
        <v/>
      </c>
      <c r="K9" s="14" t="str">
        <f ca="1">IFERROR(VLOOKUP(E9,'דוח ביצוע'!$B$3:$H$36,7,0),"")</f>
        <v/>
      </c>
      <c r="L9" s="15">
        <f ca="1">IFERROR(24*(K9-J9),0)</f>
        <v>0</v>
      </c>
      <c r="M9" s="16"/>
      <c r="N9" s="17"/>
      <c r="P9" s="1">
        <v>0</v>
      </c>
      <c r="Q9" s="1" t="s">
        <v>14</v>
      </c>
      <c r="R9" s="18" t="s">
        <v>15</v>
      </c>
    </row>
    <row r="10" spans="1:18" ht="18" customHeight="1" x14ac:dyDescent="0.2">
      <c r="A10" s="11"/>
      <c r="B10" s="11">
        <v>2</v>
      </c>
      <c r="C10" s="11"/>
      <c r="E10" s="12">
        <f t="shared" ref="E10:E36" si="0">DATE($F$3,$F$4,B10)</f>
        <v>44318</v>
      </c>
      <c r="F10" s="13" t="str">
        <f>VLOOKUP(MOD(E10,7),$P$9:Q16,2)</f>
        <v>ראשון</v>
      </c>
      <c r="G10" s="14">
        <f ca="1">IFERROR(VLOOKUP(E10,'דוח ביצוע'!B:D,3,0),0)</f>
        <v>0</v>
      </c>
      <c r="H10" s="14">
        <f ca="1">IFERROR(VLOOKUP(E10,'דוח ביצוע'!B:E,4,0),0)</f>
        <v>0</v>
      </c>
      <c r="I10" s="15">
        <f t="shared" ref="I10:I39" ca="1" si="1">IFERROR(24*(H10-G10),"")</f>
        <v>0</v>
      </c>
      <c r="J10" s="14" t="str">
        <f ca="1">IFERROR(VLOOKUP(E10,'דוח ביצוע'!$B$3:$G$36,6,0),"")</f>
        <v/>
      </c>
      <c r="K10" s="14" t="str">
        <f ca="1">IFERROR(VLOOKUP(E10,'דוח ביצוע'!$B$3:$H$36,7,0),"")</f>
        <v/>
      </c>
      <c r="L10" s="15">
        <f t="shared" ref="L10:L39" ca="1" si="2">IFERROR(24*(K10-J10),0)</f>
        <v>0</v>
      </c>
      <c r="M10" s="16"/>
      <c r="N10" s="17"/>
      <c r="P10" s="1">
        <v>1</v>
      </c>
      <c r="Q10" s="1" t="s">
        <v>16</v>
      </c>
    </row>
    <row r="11" spans="1:18" ht="18" customHeight="1" x14ac:dyDescent="0.2">
      <c r="A11" s="11"/>
      <c r="B11" s="11">
        <v>3</v>
      </c>
      <c r="C11" s="11"/>
      <c r="E11" s="12">
        <f t="shared" si="0"/>
        <v>44319</v>
      </c>
      <c r="F11" s="13" t="str">
        <f>VLOOKUP(MOD(E11,7),$P$9:Q17,2)</f>
        <v>שני</v>
      </c>
      <c r="G11" s="14">
        <f ca="1">IFERROR(VLOOKUP(E11,'דוח ביצוע'!B:D,3,0),0)</f>
        <v>0</v>
      </c>
      <c r="H11" s="14">
        <f ca="1">IFERROR(VLOOKUP(E11,'דוח ביצוע'!B:E,4,0),0)</f>
        <v>0</v>
      </c>
      <c r="I11" s="15">
        <f t="shared" ca="1" si="1"/>
        <v>0</v>
      </c>
      <c r="J11" s="14" t="str">
        <f ca="1">IFERROR(VLOOKUP(E11,'דוח ביצוע'!$B$3:$G$36,6,0),"")</f>
        <v/>
      </c>
      <c r="K11" s="14" t="str">
        <f ca="1">IFERROR(VLOOKUP(E11,'דוח ביצוע'!$B$3:$H$36,7,0),"")</f>
        <v/>
      </c>
      <c r="L11" s="15">
        <f t="shared" ca="1" si="2"/>
        <v>0</v>
      </c>
      <c r="M11" s="16"/>
      <c r="N11" s="17"/>
      <c r="P11" s="1">
        <v>2</v>
      </c>
      <c r="Q11" s="1" t="s">
        <v>17</v>
      </c>
    </row>
    <row r="12" spans="1:18" ht="18" customHeight="1" x14ac:dyDescent="0.2">
      <c r="A12" s="11"/>
      <c r="B12" s="11">
        <v>4</v>
      </c>
      <c r="C12" s="11"/>
      <c r="E12" s="12">
        <f t="shared" si="0"/>
        <v>44320</v>
      </c>
      <c r="F12" s="13" t="str">
        <f>VLOOKUP(MOD(E12,7),$P$9:Q18,2)</f>
        <v>שלישי</v>
      </c>
      <c r="G12" s="14">
        <f ca="1">IFERROR(VLOOKUP(E12,'דוח ביצוע'!B:D,3,0),0)</f>
        <v>0</v>
      </c>
      <c r="H12" s="14">
        <f ca="1">IFERROR(VLOOKUP(E12,'דוח ביצוע'!B:E,4,0),0)</f>
        <v>0</v>
      </c>
      <c r="I12" s="15">
        <f t="shared" ca="1" si="1"/>
        <v>0</v>
      </c>
      <c r="J12" s="14" t="str">
        <f ca="1">IFERROR(VLOOKUP(E12,'דוח ביצוע'!$B$3:$G$36,6,0),"")</f>
        <v/>
      </c>
      <c r="K12" s="14" t="str">
        <f ca="1">IFERROR(VLOOKUP(E12,'דוח ביצוע'!$B$3:$H$36,7,0),"")</f>
        <v/>
      </c>
      <c r="L12" s="15">
        <f t="shared" ca="1" si="2"/>
        <v>0</v>
      </c>
      <c r="M12" s="16"/>
      <c r="N12" s="17"/>
      <c r="P12" s="1">
        <v>3</v>
      </c>
      <c r="Q12" s="1" t="s">
        <v>18</v>
      </c>
    </row>
    <row r="13" spans="1:18" ht="18" customHeight="1" x14ac:dyDescent="0.2">
      <c r="A13" s="11"/>
      <c r="B13" s="11">
        <v>5</v>
      </c>
      <c r="C13" s="11"/>
      <c r="E13" s="12">
        <f t="shared" si="0"/>
        <v>44321</v>
      </c>
      <c r="F13" s="13" t="str">
        <f>VLOOKUP(MOD(E13,7),$P$9:Q19,2)</f>
        <v>רביעי</v>
      </c>
      <c r="G13" s="14">
        <f ca="1">IFERROR(VLOOKUP(E13,'דוח ביצוע'!B:D,3,0),0)</f>
        <v>0</v>
      </c>
      <c r="H13" s="14">
        <f ca="1">IFERROR(VLOOKUP(E13,'דוח ביצוע'!B:E,4,0),0)</f>
        <v>0</v>
      </c>
      <c r="I13" s="15">
        <f t="shared" ca="1" si="1"/>
        <v>0</v>
      </c>
      <c r="J13" s="14" t="str">
        <f ca="1">IFERROR(VLOOKUP(E13,'דוח ביצוע'!$B$3:$G$36,6,0),"")</f>
        <v/>
      </c>
      <c r="K13" s="14" t="str">
        <f ca="1">IFERROR(VLOOKUP(E13,'דוח ביצוע'!$B$3:$H$36,7,0),"")</f>
        <v/>
      </c>
      <c r="L13" s="15">
        <f t="shared" ca="1" si="2"/>
        <v>0</v>
      </c>
      <c r="M13" s="16"/>
      <c r="N13" s="17"/>
      <c r="P13" s="1">
        <v>4</v>
      </c>
      <c r="Q13" s="1" t="s">
        <v>19</v>
      </c>
    </row>
    <row r="14" spans="1:18" ht="18" customHeight="1" x14ac:dyDescent="0.2">
      <c r="A14" s="11"/>
      <c r="B14" s="11">
        <v>6</v>
      </c>
      <c r="C14" s="11"/>
      <c r="E14" s="12">
        <f t="shared" si="0"/>
        <v>44322</v>
      </c>
      <c r="F14" s="13" t="str">
        <f>VLOOKUP(MOD(E14,7),$P$9:Q20,2)</f>
        <v>חמישי</v>
      </c>
      <c r="G14" s="14">
        <f ca="1">IFERROR(VLOOKUP(E14,'דוח ביצוע'!B:D,3,0),0)</f>
        <v>0</v>
      </c>
      <c r="H14" s="14">
        <f ca="1">IFERROR(VLOOKUP(E14,'דוח ביצוע'!B:E,4,0),0)</f>
        <v>0</v>
      </c>
      <c r="I14" s="15">
        <f t="shared" ca="1" si="1"/>
        <v>0</v>
      </c>
      <c r="J14" s="14" t="str">
        <f ca="1">IFERROR(VLOOKUP(E14,'דוח ביצוע'!$B$3:$G$36,6,0),"")</f>
        <v/>
      </c>
      <c r="K14" s="14" t="str">
        <f ca="1">IFERROR(VLOOKUP(E14,'דוח ביצוע'!$B$3:$H$36,7,0),"")</f>
        <v/>
      </c>
      <c r="L14" s="15">
        <f t="shared" ca="1" si="2"/>
        <v>0</v>
      </c>
      <c r="M14" s="16"/>
      <c r="N14" s="17"/>
      <c r="P14" s="1">
        <v>5</v>
      </c>
      <c r="Q14" s="1" t="s">
        <v>20</v>
      </c>
    </row>
    <row r="15" spans="1:18" ht="18" customHeight="1" x14ac:dyDescent="0.2">
      <c r="A15" s="11"/>
      <c r="B15" s="11">
        <v>7</v>
      </c>
      <c r="C15" s="11"/>
      <c r="E15" s="12">
        <f t="shared" si="0"/>
        <v>44323</v>
      </c>
      <c r="F15" s="13" t="str">
        <f>VLOOKUP(MOD(E15,7),$P$9:Q21,2)</f>
        <v>שישי</v>
      </c>
      <c r="G15" s="14"/>
      <c r="H15" s="14"/>
      <c r="I15" s="15">
        <f t="shared" si="1"/>
        <v>0</v>
      </c>
      <c r="J15" s="14" t="str">
        <f ca="1">IFERROR(VLOOKUP(E15,'דוח ביצוע'!$B$3:$G$36,6,0),"")</f>
        <v/>
      </c>
      <c r="K15" s="14" t="str">
        <f ca="1">IFERROR(VLOOKUP(E15,'דוח ביצוע'!$B$3:$H$36,7,0),"")</f>
        <v/>
      </c>
      <c r="L15" s="15">
        <f t="shared" ca="1" si="2"/>
        <v>0</v>
      </c>
      <c r="M15" s="16"/>
      <c r="N15" s="17"/>
      <c r="P15" s="1">
        <v>6</v>
      </c>
      <c r="Q15" s="1" t="s">
        <v>21</v>
      </c>
    </row>
    <row r="16" spans="1:18" ht="18" customHeight="1" x14ac:dyDescent="0.2">
      <c r="A16" s="11"/>
      <c r="B16" s="11">
        <v>8</v>
      </c>
      <c r="C16" s="11"/>
      <c r="E16" s="12">
        <f t="shared" si="0"/>
        <v>44324</v>
      </c>
      <c r="F16" s="13" t="str">
        <f>VLOOKUP(MOD(E16,7),$P$9:Q22,2)</f>
        <v>שבת</v>
      </c>
      <c r="G16" s="14"/>
      <c r="H16" s="14"/>
      <c r="I16" s="15">
        <f t="shared" si="1"/>
        <v>0</v>
      </c>
      <c r="J16" s="14" t="str">
        <f ca="1">IFERROR(VLOOKUP(E16,'דוח ביצוע'!$B$3:$G$36,6,0),"")</f>
        <v/>
      </c>
      <c r="K16" s="14" t="str">
        <f ca="1">IFERROR(VLOOKUP(E16,'דוח ביצוע'!$B$3:$H$36,7,0),"")</f>
        <v/>
      </c>
      <c r="L16" s="15">
        <f t="shared" ca="1" si="2"/>
        <v>0</v>
      </c>
      <c r="M16" s="16"/>
      <c r="N16" s="17"/>
    </row>
    <row r="17" spans="1:14" ht="18" customHeight="1" x14ac:dyDescent="0.2">
      <c r="A17" s="11"/>
      <c r="B17" s="11">
        <v>9</v>
      </c>
      <c r="C17" s="11"/>
      <c r="E17" s="12">
        <f t="shared" si="0"/>
        <v>44325</v>
      </c>
      <c r="F17" s="13" t="str">
        <f>VLOOKUP(MOD(E17,7),$P$9:Q23,2)</f>
        <v>ראשון</v>
      </c>
      <c r="G17" s="14">
        <f ca="1">IFERROR(VLOOKUP(E17,'דוח ביצוע'!B:D,3,0),0)</f>
        <v>0</v>
      </c>
      <c r="H17" s="14">
        <f ca="1">IFERROR(VLOOKUP(E17,'דוח ביצוע'!B:E,4,0),0)</f>
        <v>0</v>
      </c>
      <c r="I17" s="15">
        <f t="shared" ca="1" si="1"/>
        <v>0</v>
      </c>
      <c r="J17" s="14" t="str">
        <f ca="1">IFERROR(VLOOKUP(E17,'דוח ביצוע'!$B$3:$G$36,6,0),"")</f>
        <v/>
      </c>
      <c r="K17" s="14" t="str">
        <f ca="1">IFERROR(VLOOKUP(E17,'דוח ביצוע'!$B$3:$H$36,7,0),"")</f>
        <v/>
      </c>
      <c r="L17" s="15">
        <f t="shared" ca="1" si="2"/>
        <v>0</v>
      </c>
      <c r="M17" s="16"/>
      <c r="N17" s="17"/>
    </row>
    <row r="18" spans="1:14" ht="18" customHeight="1" x14ac:dyDescent="0.2">
      <c r="A18" s="11"/>
      <c r="B18" s="11">
        <v>10</v>
      </c>
      <c r="C18" s="11"/>
      <c r="E18" s="12">
        <f t="shared" si="0"/>
        <v>44326</v>
      </c>
      <c r="F18" s="13" t="str">
        <f>VLOOKUP(MOD(E18,7),$P$9:Q24,2)</f>
        <v>שני</v>
      </c>
      <c r="G18" s="14">
        <f ca="1">IFERROR(VLOOKUP(E18,'דוח ביצוע'!B:D,3,0),0)</f>
        <v>0</v>
      </c>
      <c r="H18" s="14">
        <f ca="1">IFERROR(VLOOKUP(E18,'דוח ביצוע'!B:E,4,0),0)</f>
        <v>0</v>
      </c>
      <c r="I18" s="15">
        <f t="shared" ca="1" si="1"/>
        <v>0</v>
      </c>
      <c r="J18" s="14" t="str">
        <f ca="1">IFERROR(VLOOKUP(E18,'דוח ביצוע'!$B$3:$G$36,6,0),"")</f>
        <v/>
      </c>
      <c r="K18" s="14" t="str">
        <f ca="1">IFERROR(VLOOKUP(E18,'דוח ביצוע'!$B$3:$H$36,7,0),"")</f>
        <v/>
      </c>
      <c r="L18" s="15">
        <f t="shared" ca="1" si="2"/>
        <v>0</v>
      </c>
      <c r="M18" s="16"/>
      <c r="N18" s="17"/>
    </row>
    <row r="19" spans="1:14" ht="18" customHeight="1" x14ac:dyDescent="0.2">
      <c r="A19" s="11"/>
      <c r="B19" s="11">
        <v>11</v>
      </c>
      <c r="C19" s="11"/>
      <c r="E19" s="12">
        <f t="shared" si="0"/>
        <v>44327</v>
      </c>
      <c r="F19" s="13" t="str">
        <f>VLOOKUP(MOD(E19,7),$P$9:Q25,2)</f>
        <v>שלישי</v>
      </c>
      <c r="G19" s="14">
        <f ca="1">IFERROR(VLOOKUP(E19,'דוח ביצוע'!B:D,3,0),0)</f>
        <v>0</v>
      </c>
      <c r="H19" s="14">
        <f ca="1">IFERROR(VLOOKUP(E19,'דוח ביצוע'!B:E,4,0),0)</f>
        <v>0</v>
      </c>
      <c r="I19" s="15">
        <f t="shared" ca="1" si="1"/>
        <v>0</v>
      </c>
      <c r="J19" s="14" t="str">
        <f ca="1">IFERROR(VLOOKUP(E19,'דוח ביצוע'!$B$3:$G$36,6,0),"")</f>
        <v/>
      </c>
      <c r="K19" s="14" t="str">
        <f ca="1">IFERROR(VLOOKUP(E19,'דוח ביצוע'!$B$3:$H$36,7,0),"")</f>
        <v/>
      </c>
      <c r="L19" s="15">
        <f t="shared" ca="1" si="2"/>
        <v>0</v>
      </c>
      <c r="M19" s="16"/>
      <c r="N19" s="17"/>
    </row>
    <row r="20" spans="1:14" ht="18" customHeight="1" x14ac:dyDescent="0.2">
      <c r="A20" s="11"/>
      <c r="B20" s="11">
        <v>12</v>
      </c>
      <c r="C20" s="11"/>
      <c r="E20" s="12">
        <f t="shared" si="0"/>
        <v>44328</v>
      </c>
      <c r="F20" s="13" t="str">
        <f>VLOOKUP(MOD(E20,7),$P$9:Q26,2)</f>
        <v>רביעי</v>
      </c>
      <c r="G20" s="14">
        <f ca="1">IFERROR(VLOOKUP(E20,'דוח ביצוע'!B:D,3,0),0)</f>
        <v>0</v>
      </c>
      <c r="H20" s="14">
        <f ca="1">IFERROR(VLOOKUP(E20,'דוח ביצוע'!B:E,4,0),0)</f>
        <v>0</v>
      </c>
      <c r="I20" s="15">
        <f t="shared" ca="1" si="1"/>
        <v>0</v>
      </c>
      <c r="J20" s="14" t="str">
        <f ca="1">IFERROR(VLOOKUP(E20,'דוח ביצוע'!$B$3:$G$36,6,0),"")</f>
        <v/>
      </c>
      <c r="K20" s="14" t="str">
        <f ca="1">IFERROR(VLOOKUP(E20,'דוח ביצוע'!$B$3:$H$36,7,0),"")</f>
        <v/>
      </c>
      <c r="L20" s="15">
        <f t="shared" ca="1" si="2"/>
        <v>0</v>
      </c>
      <c r="M20" s="16"/>
      <c r="N20" s="17"/>
    </row>
    <row r="21" spans="1:14" ht="18" customHeight="1" x14ac:dyDescent="0.2">
      <c r="A21" s="11"/>
      <c r="B21" s="11">
        <v>13</v>
      </c>
      <c r="C21" s="11"/>
      <c r="E21" s="12">
        <f t="shared" si="0"/>
        <v>44329</v>
      </c>
      <c r="F21" s="13" t="str">
        <f>VLOOKUP(MOD(E21,7),$P$9:Q27,2)</f>
        <v>חמישי</v>
      </c>
      <c r="G21" s="14">
        <f ca="1">IFERROR(VLOOKUP(E21,'דוח ביצוע'!B:D,3,0),0)</f>
        <v>0</v>
      </c>
      <c r="H21" s="14">
        <f ca="1">IFERROR(VLOOKUP(E21,'דוח ביצוע'!B:E,4,0),0)</f>
        <v>0</v>
      </c>
      <c r="I21" s="15">
        <f t="shared" ca="1" si="1"/>
        <v>0</v>
      </c>
      <c r="J21" s="14" t="str">
        <f ca="1">IFERROR(VLOOKUP(E21,'דוח ביצוע'!$B$3:$G$36,6,0),"")</f>
        <v/>
      </c>
      <c r="K21" s="14" t="str">
        <f ca="1">IFERROR(VLOOKUP(E21,'דוח ביצוע'!$B$3:$H$36,7,0),"")</f>
        <v/>
      </c>
      <c r="L21" s="15">
        <f t="shared" ca="1" si="2"/>
        <v>0</v>
      </c>
      <c r="M21" s="16"/>
      <c r="N21" s="17"/>
    </row>
    <row r="22" spans="1:14" ht="18" customHeight="1" x14ac:dyDescent="0.2">
      <c r="A22" s="11"/>
      <c r="B22" s="11">
        <v>14</v>
      </c>
      <c r="C22" s="11"/>
      <c r="E22" s="12">
        <f t="shared" si="0"/>
        <v>44330</v>
      </c>
      <c r="F22" s="13" t="str">
        <f>VLOOKUP(MOD(E22,7),$P$9:Q28,2)</f>
        <v>שישי</v>
      </c>
      <c r="G22" s="14"/>
      <c r="H22" s="14"/>
      <c r="I22" s="15">
        <f t="shared" si="1"/>
        <v>0</v>
      </c>
      <c r="J22" s="14" t="str">
        <f ca="1">IFERROR(VLOOKUP(E22,'דוח ביצוע'!$B$3:$G$36,6,0),"")</f>
        <v/>
      </c>
      <c r="K22" s="14" t="str">
        <f ca="1">IFERROR(VLOOKUP(E22,'דוח ביצוע'!$B$3:$H$36,7,0),"")</f>
        <v/>
      </c>
      <c r="L22" s="15">
        <f t="shared" ca="1" si="2"/>
        <v>0</v>
      </c>
      <c r="M22" s="16"/>
      <c r="N22" s="17"/>
    </row>
    <row r="23" spans="1:14" ht="18" customHeight="1" x14ac:dyDescent="0.2">
      <c r="A23" s="11"/>
      <c r="B23" s="11">
        <v>15</v>
      </c>
      <c r="C23" s="11"/>
      <c r="E23" s="12">
        <f t="shared" si="0"/>
        <v>44331</v>
      </c>
      <c r="F23" s="13" t="str">
        <f>VLOOKUP(MOD(E23,7),$P$9:Q29,2)</f>
        <v>שבת</v>
      </c>
      <c r="G23" s="14"/>
      <c r="H23" s="14"/>
      <c r="I23" s="15">
        <f t="shared" si="1"/>
        <v>0</v>
      </c>
      <c r="J23" s="14" t="str">
        <f ca="1">IFERROR(VLOOKUP(E23,'דוח ביצוע'!$B$3:$G$36,6,0),"")</f>
        <v/>
      </c>
      <c r="K23" s="14" t="str">
        <f ca="1">IFERROR(VLOOKUP(E23,'דוח ביצוע'!$B$3:$H$36,7,0),"")</f>
        <v/>
      </c>
      <c r="L23" s="15">
        <f t="shared" ca="1" si="2"/>
        <v>0</v>
      </c>
      <c r="M23" s="16"/>
      <c r="N23" s="17"/>
    </row>
    <row r="24" spans="1:14" ht="18" customHeight="1" x14ac:dyDescent="0.2">
      <c r="A24" s="11"/>
      <c r="B24" s="11">
        <v>16</v>
      </c>
      <c r="C24" s="11"/>
      <c r="E24" s="12">
        <f t="shared" si="0"/>
        <v>44332</v>
      </c>
      <c r="F24" s="13" t="str">
        <f>VLOOKUP(MOD(E24,7),$P$9:Q30,2)</f>
        <v>ראשון</v>
      </c>
      <c r="G24" s="14">
        <f ca="1">IFERROR(VLOOKUP(E24,'דוח ביצוע'!B:D,3,0),0)</f>
        <v>0</v>
      </c>
      <c r="H24" s="14">
        <f ca="1">IFERROR(VLOOKUP(E24,'דוח ביצוע'!B:E,4,0),0)</f>
        <v>0</v>
      </c>
      <c r="I24" s="15">
        <f t="shared" ca="1" si="1"/>
        <v>0</v>
      </c>
      <c r="J24" s="14" t="str">
        <f ca="1">IFERROR(VLOOKUP(E24,'דוח ביצוע'!$B$3:$G$36,6,0),"")</f>
        <v/>
      </c>
      <c r="K24" s="14" t="str">
        <f ca="1">IFERROR(VLOOKUP(E24,'דוח ביצוע'!$B$3:$H$36,7,0),"")</f>
        <v/>
      </c>
      <c r="L24" s="15">
        <f t="shared" ca="1" si="2"/>
        <v>0</v>
      </c>
      <c r="M24" s="16"/>
      <c r="N24" s="17"/>
    </row>
    <row r="25" spans="1:14" ht="18" customHeight="1" x14ac:dyDescent="0.2">
      <c r="A25" s="11"/>
      <c r="B25" s="11">
        <v>17</v>
      </c>
      <c r="C25" s="11"/>
      <c r="E25" s="12">
        <f t="shared" si="0"/>
        <v>44333</v>
      </c>
      <c r="F25" s="13" t="str">
        <f>VLOOKUP(MOD(E25,7),$P$9:Q31,2)</f>
        <v>שני</v>
      </c>
      <c r="G25" s="14">
        <f ca="1">IFERROR(VLOOKUP(E25,'דוח ביצוע'!B:D,3,0),0)</f>
        <v>0</v>
      </c>
      <c r="H25" s="14">
        <f ca="1">IFERROR(VLOOKUP(E25,'דוח ביצוע'!B:E,4,0),0)</f>
        <v>0</v>
      </c>
      <c r="I25" s="15">
        <f t="shared" ca="1" si="1"/>
        <v>0</v>
      </c>
      <c r="J25" s="14" t="str">
        <f ca="1">IFERROR(VLOOKUP(E25,'דוח ביצוע'!$B$3:$G$36,6,0),"")</f>
        <v/>
      </c>
      <c r="K25" s="14" t="str">
        <f ca="1">IFERROR(VLOOKUP(E25,'דוח ביצוע'!$B$3:$H$36,7,0),"")</f>
        <v/>
      </c>
      <c r="L25" s="15">
        <f t="shared" ca="1" si="2"/>
        <v>0</v>
      </c>
      <c r="M25" s="16"/>
      <c r="N25" s="17"/>
    </row>
    <row r="26" spans="1:14" ht="18" customHeight="1" x14ac:dyDescent="0.2">
      <c r="A26" s="11"/>
      <c r="B26" s="11">
        <v>18</v>
      </c>
      <c r="C26" s="11"/>
      <c r="E26" s="12">
        <f t="shared" si="0"/>
        <v>44334</v>
      </c>
      <c r="F26" s="13" t="str">
        <f>VLOOKUP(MOD(E26,7),$P$9:Q32,2)</f>
        <v>שלישי</v>
      </c>
      <c r="G26" s="14">
        <f ca="1">IFERROR(VLOOKUP(E26,'דוח ביצוע'!B:D,3,0),0)</f>
        <v>0</v>
      </c>
      <c r="H26" s="14">
        <f ca="1">IFERROR(VLOOKUP(E26,'דוח ביצוע'!B:E,4,0),0)</f>
        <v>0</v>
      </c>
      <c r="I26" s="15">
        <f t="shared" ca="1" si="1"/>
        <v>0</v>
      </c>
      <c r="J26" s="14" t="str">
        <f ca="1">IFERROR(VLOOKUP(E26,'דוח ביצוע'!$B$3:$G$36,6,0),"")</f>
        <v/>
      </c>
      <c r="K26" s="14" t="str">
        <f ca="1">IFERROR(VLOOKUP(E26,'דוח ביצוע'!$B$3:$H$36,7,0),"")</f>
        <v/>
      </c>
      <c r="L26" s="15">
        <f t="shared" ca="1" si="2"/>
        <v>0</v>
      </c>
      <c r="M26" s="16"/>
      <c r="N26" s="17"/>
    </row>
    <row r="27" spans="1:14" ht="18" customHeight="1" x14ac:dyDescent="0.2">
      <c r="A27" s="11"/>
      <c r="B27" s="11">
        <v>19</v>
      </c>
      <c r="C27" s="11"/>
      <c r="E27" s="12">
        <f t="shared" si="0"/>
        <v>44335</v>
      </c>
      <c r="F27" s="13" t="str">
        <f>VLOOKUP(MOD(E27,7),$P$9:Q33,2)</f>
        <v>רביעי</v>
      </c>
      <c r="G27" s="14">
        <f ca="1">IFERROR(VLOOKUP(E27,'דוח ביצוע'!B:D,3,0),0)</f>
        <v>0</v>
      </c>
      <c r="H27" s="14">
        <f ca="1">IFERROR(VLOOKUP(E27,'דוח ביצוע'!B:E,4,0),0)</f>
        <v>0</v>
      </c>
      <c r="I27" s="15">
        <f t="shared" ca="1" si="1"/>
        <v>0</v>
      </c>
      <c r="J27" s="14" t="str">
        <f ca="1">IFERROR(VLOOKUP(E27,'דוח ביצוע'!$B$3:$G$36,6,0),"")</f>
        <v/>
      </c>
      <c r="K27" s="14" t="str">
        <f ca="1">IFERROR(VLOOKUP(E27,'דוח ביצוע'!$B$3:$H$36,7,0),"")</f>
        <v/>
      </c>
      <c r="L27" s="15">
        <f t="shared" ca="1" si="2"/>
        <v>0</v>
      </c>
      <c r="M27" s="16"/>
      <c r="N27" s="17"/>
    </row>
    <row r="28" spans="1:14" ht="18" customHeight="1" x14ac:dyDescent="0.2">
      <c r="A28" s="11"/>
      <c r="B28" s="11">
        <v>20</v>
      </c>
      <c r="C28" s="11"/>
      <c r="E28" s="12">
        <f t="shared" si="0"/>
        <v>44336</v>
      </c>
      <c r="F28" s="13" t="str">
        <f>VLOOKUP(MOD(E28,7),$P$9:Q34,2)</f>
        <v>חמישי</v>
      </c>
      <c r="G28" s="14">
        <f ca="1">IFERROR(VLOOKUP(E28,'דוח ביצוע'!B:D,3,0),0)</f>
        <v>0</v>
      </c>
      <c r="H28" s="14">
        <f ca="1">IFERROR(VLOOKUP(E28,'דוח ביצוע'!B:E,4,0),0)</f>
        <v>0</v>
      </c>
      <c r="I28" s="15">
        <f t="shared" ca="1" si="1"/>
        <v>0</v>
      </c>
      <c r="J28" s="14" t="str">
        <f ca="1">IFERROR(VLOOKUP(E28,'דוח ביצוע'!$B$3:$G$36,6,0),"")</f>
        <v/>
      </c>
      <c r="K28" s="14" t="str">
        <f ca="1">IFERROR(VLOOKUP(E28,'דוח ביצוע'!$B$3:$H$36,7,0),"")</f>
        <v/>
      </c>
      <c r="L28" s="15">
        <f t="shared" ca="1" si="2"/>
        <v>0</v>
      </c>
      <c r="M28" s="16"/>
      <c r="N28" s="17"/>
    </row>
    <row r="29" spans="1:14" ht="18" customHeight="1" x14ac:dyDescent="0.2">
      <c r="A29" s="11"/>
      <c r="B29" s="11">
        <v>21</v>
      </c>
      <c r="C29" s="11"/>
      <c r="E29" s="12">
        <f t="shared" si="0"/>
        <v>44337</v>
      </c>
      <c r="F29" s="13" t="str">
        <f>VLOOKUP(MOD(E29,7),$P$9:Q35,2)</f>
        <v>שישי</v>
      </c>
      <c r="G29" s="14"/>
      <c r="H29" s="14"/>
      <c r="I29" s="15">
        <f t="shared" si="1"/>
        <v>0</v>
      </c>
      <c r="J29" s="14" t="str">
        <f ca="1">IFERROR(VLOOKUP(E29,'דוח ביצוע'!$B$3:$G$36,6,0),"")</f>
        <v/>
      </c>
      <c r="K29" s="14" t="str">
        <f ca="1">IFERROR(VLOOKUP(E29,'דוח ביצוע'!$B$3:$H$36,7,0),"")</f>
        <v/>
      </c>
      <c r="L29" s="15">
        <f t="shared" ca="1" si="2"/>
        <v>0</v>
      </c>
      <c r="M29" s="16"/>
      <c r="N29" s="17"/>
    </row>
    <row r="30" spans="1:14" ht="18" customHeight="1" x14ac:dyDescent="0.2">
      <c r="A30" s="11"/>
      <c r="B30" s="11">
        <v>22</v>
      </c>
      <c r="C30" s="11"/>
      <c r="E30" s="12">
        <f t="shared" si="0"/>
        <v>44338</v>
      </c>
      <c r="F30" s="13" t="str">
        <f>VLOOKUP(MOD(E30,7),$P$9:Q36,2)</f>
        <v>שבת</v>
      </c>
      <c r="G30" s="14"/>
      <c r="H30" s="14"/>
      <c r="I30" s="15">
        <f t="shared" si="1"/>
        <v>0</v>
      </c>
      <c r="J30" s="14" t="str">
        <f ca="1">IFERROR(VLOOKUP(E30,'דוח ביצוע'!$B$3:$G$36,6,0),"")</f>
        <v/>
      </c>
      <c r="K30" s="14" t="str">
        <f ca="1">IFERROR(VLOOKUP(E30,'דוח ביצוע'!$B$3:$H$36,7,0),"")</f>
        <v/>
      </c>
      <c r="L30" s="15">
        <f t="shared" ca="1" si="2"/>
        <v>0</v>
      </c>
      <c r="M30" s="16"/>
      <c r="N30" s="17"/>
    </row>
    <row r="31" spans="1:14" ht="18" customHeight="1" x14ac:dyDescent="0.2">
      <c r="A31" s="11"/>
      <c r="B31" s="11">
        <v>23</v>
      </c>
      <c r="C31" s="11"/>
      <c r="E31" s="12">
        <f t="shared" si="0"/>
        <v>44339</v>
      </c>
      <c r="F31" s="13" t="str">
        <f>VLOOKUP(MOD(E31,7),$P$9:Q37,2)</f>
        <v>ראשון</v>
      </c>
      <c r="G31" s="14">
        <f ca="1">IFERROR(VLOOKUP(E31,'דוח ביצוע'!B:D,3,0),0)</f>
        <v>0</v>
      </c>
      <c r="H31" s="14">
        <f ca="1">IFERROR(VLOOKUP(E31,'דוח ביצוע'!B:E,4,0),0)</f>
        <v>0</v>
      </c>
      <c r="I31" s="15">
        <f t="shared" ca="1" si="1"/>
        <v>0</v>
      </c>
      <c r="J31" s="14" t="str">
        <f ca="1">IFERROR(VLOOKUP(E31,'דוח ביצוע'!$B$3:$G$36,6,0),"")</f>
        <v/>
      </c>
      <c r="K31" s="14" t="str">
        <f ca="1">IFERROR(VLOOKUP(E31,'דוח ביצוע'!$B$3:$H$36,7,0),"")</f>
        <v/>
      </c>
      <c r="L31" s="15">
        <f t="shared" ca="1" si="2"/>
        <v>0</v>
      </c>
      <c r="M31" s="16"/>
      <c r="N31" s="17"/>
    </row>
    <row r="32" spans="1:14" ht="18" customHeight="1" x14ac:dyDescent="0.2">
      <c r="A32" s="11"/>
      <c r="B32" s="11">
        <v>24</v>
      </c>
      <c r="C32" s="11"/>
      <c r="E32" s="12">
        <f t="shared" si="0"/>
        <v>44340</v>
      </c>
      <c r="F32" s="13" t="str">
        <f>VLOOKUP(MOD(E32,7),$P$9:Q38,2)</f>
        <v>שני</v>
      </c>
      <c r="G32" s="14">
        <f ca="1">IFERROR(VLOOKUP(E32,'דוח ביצוע'!B:D,3,0),0)</f>
        <v>0</v>
      </c>
      <c r="H32" s="14">
        <f ca="1">IFERROR(VLOOKUP(E32,'דוח ביצוע'!B:E,4,0),0)</f>
        <v>0</v>
      </c>
      <c r="I32" s="15">
        <f t="shared" ca="1" si="1"/>
        <v>0</v>
      </c>
      <c r="J32" s="14" t="str">
        <f ca="1">IFERROR(VLOOKUP(E32,'דוח ביצוע'!$B$3:$G$36,6,0),"")</f>
        <v/>
      </c>
      <c r="K32" s="14" t="str">
        <f ca="1">IFERROR(VLOOKUP(E32,'דוח ביצוע'!$B$3:$H$36,7,0),"")</f>
        <v/>
      </c>
      <c r="L32" s="15">
        <f t="shared" ca="1" si="2"/>
        <v>0</v>
      </c>
      <c r="M32" s="16"/>
      <c r="N32" s="17"/>
    </row>
    <row r="33" spans="1:17" ht="18" customHeight="1" x14ac:dyDescent="0.2">
      <c r="A33" s="11"/>
      <c r="B33" s="11">
        <v>25</v>
      </c>
      <c r="C33" s="11"/>
      <c r="E33" s="12">
        <f t="shared" si="0"/>
        <v>44341</v>
      </c>
      <c r="F33" s="13" t="str">
        <f>VLOOKUP(MOD(E33,7),$P$9:Q39,2)</f>
        <v>שלישי</v>
      </c>
      <c r="G33" s="14">
        <f ca="1">IFERROR(VLOOKUP(E33,'דוח ביצוע'!B:D,3,0),0)</f>
        <v>0</v>
      </c>
      <c r="H33" s="14">
        <f ca="1">IFERROR(VLOOKUP(E33,'דוח ביצוע'!B:E,4,0),0)</f>
        <v>0</v>
      </c>
      <c r="I33" s="15">
        <f t="shared" ca="1" si="1"/>
        <v>0</v>
      </c>
      <c r="J33" s="14" t="str">
        <f ca="1">IFERROR(VLOOKUP(E33,'דוח ביצוע'!$B$3:$G$36,6,0),"")</f>
        <v/>
      </c>
      <c r="K33" s="14" t="str">
        <f ca="1">IFERROR(VLOOKUP(E33,'דוח ביצוע'!$B$3:$H$36,7,0),"")</f>
        <v/>
      </c>
      <c r="L33" s="15">
        <f t="shared" ca="1" si="2"/>
        <v>0</v>
      </c>
      <c r="M33" s="16"/>
      <c r="N33" s="17"/>
    </row>
    <row r="34" spans="1:17" ht="18" customHeight="1" x14ac:dyDescent="0.2">
      <c r="A34" s="11"/>
      <c r="B34" s="11">
        <v>26</v>
      </c>
      <c r="C34" s="11"/>
      <c r="E34" s="12">
        <f t="shared" si="0"/>
        <v>44342</v>
      </c>
      <c r="F34" s="13" t="str">
        <f>VLOOKUP(MOD(E34,7),$P$9:Q42,2)</f>
        <v>רביעי</v>
      </c>
      <c r="G34" s="14">
        <f ca="1">IFERROR(VLOOKUP(E34,'דוח ביצוע'!B:D,3,0),0)</f>
        <v>0</v>
      </c>
      <c r="H34" s="14">
        <f ca="1">IFERROR(VLOOKUP(E34,'דוח ביצוע'!B:E,4,0),0)</f>
        <v>0</v>
      </c>
      <c r="I34" s="15">
        <f t="shared" ca="1" si="1"/>
        <v>0</v>
      </c>
      <c r="J34" s="14" t="str">
        <f ca="1">IFERROR(VLOOKUP(E34,'דוח ביצוע'!$B$3:$G$36,6,0),"")</f>
        <v/>
      </c>
      <c r="K34" s="14" t="str">
        <f ca="1">IFERROR(VLOOKUP(E34,'דוח ביצוע'!$B$3:$H$36,7,0),"")</f>
        <v/>
      </c>
      <c r="L34" s="15">
        <f t="shared" ca="1" si="2"/>
        <v>0</v>
      </c>
      <c r="M34" s="16"/>
      <c r="N34" s="17"/>
    </row>
    <row r="35" spans="1:17" ht="18" customHeight="1" x14ac:dyDescent="0.2">
      <c r="A35" s="11"/>
      <c r="B35" s="11">
        <v>27</v>
      </c>
      <c r="C35" s="11"/>
      <c r="E35" s="12">
        <f t="shared" si="0"/>
        <v>44343</v>
      </c>
      <c r="F35" s="13" t="str">
        <f>VLOOKUP(MOD(E35,7),$P$9:Q42,2)</f>
        <v>חמישי</v>
      </c>
      <c r="G35" s="14">
        <f ca="1">IFERROR(VLOOKUP(E35,'דוח ביצוע'!B:D,3,0),0)</f>
        <v>0</v>
      </c>
      <c r="H35" s="14">
        <f ca="1">IFERROR(VLOOKUP(E35,'דוח ביצוע'!B:E,4,0),0)</f>
        <v>0</v>
      </c>
      <c r="I35" s="15">
        <f t="shared" ca="1" si="1"/>
        <v>0</v>
      </c>
      <c r="J35" s="14" t="str">
        <f ca="1">IFERROR(VLOOKUP(E35,'דוח ביצוע'!$B$3:$G$36,6,0),"")</f>
        <v/>
      </c>
      <c r="K35" s="14" t="str">
        <f ca="1">IFERROR(VLOOKUP(E35,'דוח ביצוע'!$B$3:$H$36,7,0),"")</f>
        <v/>
      </c>
      <c r="L35" s="15">
        <f t="shared" ca="1" si="2"/>
        <v>0</v>
      </c>
      <c r="M35" s="16"/>
      <c r="N35" s="17"/>
    </row>
    <row r="36" spans="1:17" ht="18" customHeight="1" x14ac:dyDescent="0.2">
      <c r="A36" s="11"/>
      <c r="B36" s="11">
        <v>28</v>
      </c>
      <c r="C36" s="11"/>
      <c r="E36" s="12">
        <f t="shared" si="0"/>
        <v>44344</v>
      </c>
      <c r="F36" s="13" t="str">
        <f>VLOOKUP(MOD(E36,7),$P$9:Q42,2)</f>
        <v>שישי</v>
      </c>
      <c r="G36" s="14"/>
      <c r="H36" s="14"/>
      <c r="I36" s="15">
        <f t="shared" si="1"/>
        <v>0</v>
      </c>
      <c r="J36" s="14" t="str">
        <f ca="1">IFERROR(VLOOKUP(E36,'דוח ביצוע'!$B$3:$G$36,6,0),"")</f>
        <v/>
      </c>
      <c r="K36" s="14" t="str">
        <f ca="1">IFERROR(VLOOKUP(E36,'דוח ביצוע'!$B$3:$H$36,7,0),"")</f>
        <v/>
      </c>
      <c r="L36" s="15">
        <f t="shared" ca="1" si="2"/>
        <v>0</v>
      </c>
      <c r="M36" s="16"/>
      <c r="N36" s="17"/>
      <c r="P36" s="19"/>
    </row>
    <row r="37" spans="1:17" ht="18" customHeight="1" x14ac:dyDescent="0.2">
      <c r="A37" s="12">
        <f>DATE($F$3,$F$4,B37)</f>
        <v>44345</v>
      </c>
      <c r="B37" s="11">
        <v>29</v>
      </c>
      <c r="C37" s="11" t="b">
        <f>+MONTH(E36)=MONTH(A37)</f>
        <v>1</v>
      </c>
      <c r="E37" s="12">
        <f>IF(C37=TRUE,DATE($F$3,$F$4,B37),0)</f>
        <v>44345</v>
      </c>
      <c r="F37" s="13" t="str">
        <f>IF(C37=TRUE,VLOOKUP(MOD(E37,7),$P$9:Q42,2),0)</f>
        <v>שבת</v>
      </c>
      <c r="G37" s="14"/>
      <c r="H37" s="14"/>
      <c r="I37" s="15">
        <f t="shared" si="1"/>
        <v>0</v>
      </c>
      <c r="J37" s="14" t="str">
        <f ca="1">IFERROR(VLOOKUP(E37,'דוח ביצוע'!$B$3:$G$36,6,0),"")</f>
        <v/>
      </c>
      <c r="K37" s="14" t="str">
        <f ca="1">IFERROR(VLOOKUP(E37,'דוח ביצוע'!$B$3:$H$36,7,0),"")</f>
        <v/>
      </c>
      <c r="L37" s="15">
        <f t="shared" ca="1" si="2"/>
        <v>0</v>
      </c>
      <c r="M37" s="16"/>
      <c r="N37" s="17"/>
      <c r="P37" s="19"/>
      <c r="Q37" s="20"/>
    </row>
    <row r="38" spans="1:17" ht="18" customHeight="1" x14ac:dyDescent="0.2">
      <c r="A38" s="12">
        <f>DATE($F$3,$F$4,B38)</f>
        <v>44346</v>
      </c>
      <c r="B38" s="11">
        <v>30</v>
      </c>
      <c r="C38" s="11" t="b">
        <f>+MONTH(E36)=MONTH(A38)</f>
        <v>1</v>
      </c>
      <c r="E38" s="12">
        <f>IF(C38=TRUE,DATE($F$3,$F$4,B38),0)</f>
        <v>44346</v>
      </c>
      <c r="F38" s="13" t="str">
        <f>IF(C38=TRUE,VLOOKUP(MOD(E38,7),$P$9:Q43,2),0)</f>
        <v>ראשון</v>
      </c>
      <c r="G38" s="14">
        <f ca="1">IFERROR(VLOOKUP(E38,'דוח ביצוע'!B:D,3,0),0)</f>
        <v>0</v>
      </c>
      <c r="H38" s="14">
        <f ca="1">IFERROR(VLOOKUP(E38,'דוח ביצוע'!B:E,4,0),0)</f>
        <v>0</v>
      </c>
      <c r="I38" s="15">
        <f t="shared" ca="1" si="1"/>
        <v>0</v>
      </c>
      <c r="J38" s="14" t="str">
        <f ca="1">IFERROR(VLOOKUP(E38,'דוח ביצוע'!$B$3:$G$36,6,0),"")</f>
        <v/>
      </c>
      <c r="K38" s="14" t="str">
        <f ca="1">IFERROR(VLOOKUP(E38,'דוח ביצוע'!$B$3:$H$36,7,0),"")</f>
        <v/>
      </c>
      <c r="L38" s="15">
        <f t="shared" ca="1" si="2"/>
        <v>0</v>
      </c>
      <c r="M38" s="16"/>
      <c r="N38" s="17"/>
      <c r="P38" s="19"/>
    </row>
    <row r="39" spans="1:17" ht="18" customHeight="1" x14ac:dyDescent="0.2">
      <c r="A39" s="12">
        <f>DATE($F$3,$F$4,B39)</f>
        <v>44347</v>
      </c>
      <c r="B39" s="11">
        <v>31</v>
      </c>
      <c r="C39" s="11" t="b">
        <f>+MONTH(E36)=MONTH(A39)</f>
        <v>1</v>
      </c>
      <c r="E39" s="12">
        <f>IF(C39=TRUE,DATE($F$3,$F$4,B39),0)</f>
        <v>44347</v>
      </c>
      <c r="F39" s="13" t="str">
        <f>IF(C39=TRUE,VLOOKUP(MOD(E39,7),$P$9:Q44,2),0)</f>
        <v>שני</v>
      </c>
      <c r="G39" s="14">
        <f ca="1">IFERROR(VLOOKUP(E39,'דוח ביצוע'!B:D,3,0),0)</f>
        <v>0</v>
      </c>
      <c r="H39" s="14">
        <f ca="1">IFERROR(VLOOKUP(E39,'דוח ביצוע'!B:E,4,0),0)</f>
        <v>0</v>
      </c>
      <c r="I39" s="15">
        <f t="shared" ca="1" si="1"/>
        <v>0</v>
      </c>
      <c r="J39" s="14" t="str">
        <f ca="1">IFERROR(VLOOKUP(E39,'דוח ביצוע'!$B$3:$G$36,6,0),"")</f>
        <v/>
      </c>
      <c r="K39" s="14" t="str">
        <f ca="1">IFERROR(VLOOKUP(E39,'דוח ביצוע'!$B$3:$H$36,7,0),"")</f>
        <v/>
      </c>
      <c r="L39" s="15">
        <f t="shared" ca="1" si="2"/>
        <v>0</v>
      </c>
      <c r="M39" s="16"/>
      <c r="N39" s="17"/>
      <c r="P39" s="19"/>
    </row>
    <row r="40" spans="1:17" ht="18" customHeight="1" x14ac:dyDescent="0.2">
      <c r="E40" s="21"/>
      <c r="F40" s="22"/>
      <c r="G40" s="23"/>
      <c r="H40" s="23"/>
      <c r="I40" s="24"/>
      <c r="J40" s="23"/>
      <c r="K40" s="23"/>
      <c r="L40" s="24"/>
      <c r="M40" s="25"/>
      <c r="N40" s="10"/>
    </row>
    <row r="41" spans="1:17" ht="18" customHeight="1" x14ac:dyDescent="0.2">
      <c r="F41" s="22"/>
      <c r="G41" s="23"/>
      <c r="H41" s="23"/>
      <c r="I41" s="24"/>
      <c r="J41" s="23"/>
      <c r="K41" s="23"/>
      <c r="L41" s="24"/>
      <c r="M41" s="25"/>
      <c r="N41" s="10"/>
    </row>
    <row r="42" spans="1:17" s="2" customFormat="1" ht="24.95" customHeight="1" x14ac:dyDescent="0.2">
      <c r="G42" s="146" t="s">
        <v>22</v>
      </c>
      <c r="H42" s="147"/>
      <c r="I42" s="26">
        <f ca="1">SUM(I9:I39)</f>
        <v>0</v>
      </c>
      <c r="L42" s="148" t="s">
        <v>23</v>
      </c>
      <c r="M42" s="149"/>
      <c r="N42" s="27"/>
      <c r="O42" s="28"/>
    </row>
    <row r="43" spans="1:17" s="2" customFormat="1" ht="24.95" customHeight="1" x14ac:dyDescent="0.15">
      <c r="G43" s="146" t="s">
        <v>24</v>
      </c>
      <c r="H43" s="147"/>
      <c r="I43" s="26">
        <f ca="1">SUM(L9:L39)</f>
        <v>0</v>
      </c>
      <c r="L43" s="148" t="s">
        <v>25</v>
      </c>
      <c r="M43" s="149"/>
      <c r="N43" s="17"/>
      <c r="O43" s="28"/>
    </row>
    <row r="44" spans="1:17" s="2" customFormat="1" ht="24.95" customHeight="1" x14ac:dyDescent="0.15">
      <c r="G44" s="146" t="s">
        <v>26</v>
      </c>
      <c r="H44" s="147"/>
      <c r="I44" s="29">
        <f>COUNTA(M9:M39)</f>
        <v>0</v>
      </c>
      <c r="L44" s="148" t="s">
        <v>27</v>
      </c>
      <c r="M44" s="149"/>
      <c r="N44" s="17"/>
      <c r="O44" s="28"/>
    </row>
    <row r="45" spans="1:17" ht="18" customHeight="1" x14ac:dyDescent="0.2"/>
  </sheetData>
  <mergeCells count="10">
    <mergeCell ref="G43:H43"/>
    <mergeCell ref="L43:M43"/>
    <mergeCell ref="G44:H44"/>
    <mergeCell ref="L44:M44"/>
    <mergeCell ref="I3:K3"/>
    <mergeCell ref="I4:K4"/>
    <mergeCell ref="G7:I7"/>
    <mergeCell ref="J7:L7"/>
    <mergeCell ref="G42:H42"/>
    <mergeCell ref="L42:M42"/>
  </mergeCells>
  <dataValidations count="5">
    <dataValidation type="list" allowBlank="1" showInputMessage="1" showErrorMessage="1" sqref="M9:M41" xr:uid="{00000000-0002-0000-0700-000000000000}">
      <formula1>$R$9:$R$10</formula1>
    </dataValidation>
    <dataValidation type="time" allowBlank="1" showInputMessage="1" showErrorMessage="1" sqref="J40:K41 G9:H41" xr:uid="{00000000-0002-0000-0700-000001000000}">
      <formula1>0</formula1>
      <formula2>0.999305555555556</formula2>
    </dataValidation>
    <dataValidation type="whole" allowBlank="1" showInputMessage="1" showErrorMessage="1" sqref="F3" xr:uid="{00000000-0002-0000-0700-000002000000}">
      <formula1>2002</formula1>
      <formula2>2100</formula2>
    </dataValidation>
    <dataValidation type="whole" allowBlank="1" showInputMessage="1" showErrorMessage="1" sqref="F4" xr:uid="{00000000-0002-0000-0700-000003000000}">
      <formula1>1</formula1>
      <formula2>12</formula2>
    </dataValidation>
    <dataValidation type="whole" allowBlank="1" showInputMessage="1" showErrorMessage="1" sqref="F5" xr:uid="{00000000-0002-0000-0700-000004000000}">
      <formula1>150</formula1>
      <formula2>216</formula2>
    </dataValidation>
  </dataValidations>
  <pageMargins left="0.7" right="0.7" top="0.75" bottom="0.75" header="0.3" footer="0.3"/>
  <pageSetup paperSize="9" scale="75" orientation="portrait" r:id="rId1"/>
  <ignoredErrors>
    <ignoredError sqref="H11:H14 H18:H21 H25:H28 H32:H35 H39 H10 H17 H24 H31 H38" unlockedFormula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גיליון7">
    <pageSetUpPr fitToPage="1"/>
  </sheetPr>
  <dimension ref="A1:R44"/>
  <sheetViews>
    <sheetView rightToLeft="1" topLeftCell="D1" zoomScaleNormal="100" workbookViewId="0">
      <selection activeCell="D5" sqref="A1:XFD5"/>
    </sheetView>
  </sheetViews>
  <sheetFormatPr defaultColWidth="9.140625" defaultRowHeight="12.75" x14ac:dyDescent="0.2"/>
  <cols>
    <col min="1" max="3" width="3.42578125" style="1" hidden="1" customWidth="1"/>
    <col min="4" max="4" width="2.85546875" style="1" customWidth="1"/>
    <col min="5" max="5" width="12.28515625" style="1" customWidth="1"/>
    <col min="6" max="6" width="9.28515625" style="1" customWidth="1"/>
    <col min="7" max="7" width="7.42578125" style="1" customWidth="1"/>
    <col min="8" max="8" width="11.140625" style="1" customWidth="1"/>
    <col min="9" max="12" width="8.7109375" style="1" customWidth="1"/>
    <col min="13" max="13" width="11.7109375" style="1" customWidth="1"/>
    <col min="14" max="14" width="19.42578125" style="1" customWidth="1"/>
    <col min="15" max="15" width="2.28515625" style="1" hidden="1" customWidth="1"/>
    <col min="16" max="16" width="2.42578125" style="1" hidden="1" customWidth="1"/>
    <col min="17" max="17" width="8.28515625" style="1" hidden="1" customWidth="1"/>
    <col min="18" max="18" width="2.5703125" style="1" hidden="1" customWidth="1"/>
    <col min="19" max="19" width="0" style="1" hidden="1" customWidth="1"/>
    <col min="20" max="16384" width="9.140625" style="1"/>
  </cols>
  <sheetData>
    <row r="1" spans="1:18" ht="15.95" customHeight="1" x14ac:dyDescent="0.2"/>
    <row r="2" spans="1:18" ht="15.95" customHeight="1" x14ac:dyDescent="0.2"/>
    <row r="3" spans="1:18" s="2" customFormat="1" ht="21.95" customHeight="1" x14ac:dyDescent="0.2">
      <c r="E3" s="3" t="s">
        <v>0</v>
      </c>
      <c r="F3" s="4">
        <v>2021</v>
      </c>
      <c r="H3" s="3" t="s">
        <v>1</v>
      </c>
      <c r="I3" s="150"/>
      <c r="J3" s="151"/>
      <c r="K3" s="152"/>
    </row>
    <row r="4" spans="1:18" s="2" customFormat="1" ht="21.95" customHeight="1" x14ac:dyDescent="0.2">
      <c r="E4" s="3" t="s">
        <v>2</v>
      </c>
      <c r="F4" s="4">
        <v>6</v>
      </c>
      <c r="H4" s="3" t="s">
        <v>3</v>
      </c>
      <c r="I4" s="150"/>
      <c r="J4" s="151"/>
      <c r="K4" s="152"/>
    </row>
    <row r="5" spans="1:18" s="2" customFormat="1" ht="21.95" customHeight="1" x14ac:dyDescent="0.2">
      <c r="E5" s="5" t="s">
        <v>4</v>
      </c>
      <c r="F5" s="4"/>
      <c r="H5" s="6"/>
      <c r="I5" s="7"/>
      <c r="J5" s="7"/>
      <c r="K5" s="7"/>
    </row>
    <row r="6" spans="1:18" ht="18" customHeight="1" x14ac:dyDescent="0.2"/>
    <row r="7" spans="1:18" ht="14.25" x14ac:dyDescent="0.2">
      <c r="G7" s="153" t="s">
        <v>5</v>
      </c>
      <c r="H7" s="153"/>
      <c r="I7" s="153"/>
      <c r="J7" s="153" t="s">
        <v>6</v>
      </c>
      <c r="K7" s="153"/>
      <c r="L7" s="153"/>
    </row>
    <row r="8" spans="1:18" ht="34.5" x14ac:dyDescent="0.2">
      <c r="E8" s="8" t="s">
        <v>7</v>
      </c>
      <c r="F8" s="8" t="s">
        <v>8</v>
      </c>
      <c r="G8" s="8" t="s">
        <v>9</v>
      </c>
      <c r="H8" s="8" t="s">
        <v>10</v>
      </c>
      <c r="I8" s="8" t="s">
        <v>11</v>
      </c>
      <c r="J8" s="8" t="s">
        <v>9</v>
      </c>
      <c r="K8" s="8" t="s">
        <v>10</v>
      </c>
      <c r="L8" s="8" t="s">
        <v>11</v>
      </c>
      <c r="M8" s="8" t="s">
        <v>12</v>
      </c>
      <c r="N8" s="8" t="s">
        <v>13</v>
      </c>
      <c r="Q8" s="9" t="s">
        <v>8</v>
      </c>
      <c r="R8" s="10"/>
    </row>
    <row r="9" spans="1:18" ht="18" customHeight="1" x14ac:dyDescent="0.2">
      <c r="A9" s="11"/>
      <c r="B9" s="11">
        <v>1</v>
      </c>
      <c r="C9" s="11"/>
      <c r="E9" s="12">
        <f>DATE($F$3,$F$4,B9)</f>
        <v>44348</v>
      </c>
      <c r="F9" s="13" t="str">
        <f>VLOOKUP(MOD(E9,7),$P$9:Q15,2)</f>
        <v>שלישי</v>
      </c>
      <c r="G9" s="14">
        <f ca="1">IFERROR(VLOOKUP(E9,'דוח ביצוע'!B:D,3,0),0)</f>
        <v>0</v>
      </c>
      <c r="H9" s="14">
        <f ca="1">IFERROR(VLOOKUP(E9,'דוח ביצוע'!B:E,4,0),0)</f>
        <v>0</v>
      </c>
      <c r="I9" s="15">
        <f ca="1">IFERROR(24*(H9-G9),"")</f>
        <v>0</v>
      </c>
      <c r="J9" s="14" t="str">
        <f ca="1">IFERROR(VLOOKUP(E9,'דוח ביצוע'!$B$3:$G$36,6,0),"")</f>
        <v/>
      </c>
      <c r="K9" s="14" t="str">
        <f ca="1">IFERROR(VLOOKUP(E9,'דוח ביצוע'!$B$3:$H$36,7,0),"")</f>
        <v/>
      </c>
      <c r="L9" s="15">
        <f ca="1">IFERROR(24*(K9-J9),0)</f>
        <v>0</v>
      </c>
      <c r="M9" s="16" t="s">
        <v>15</v>
      </c>
      <c r="N9" s="17"/>
      <c r="P9" s="1">
        <v>0</v>
      </c>
      <c r="Q9" s="1" t="s">
        <v>14</v>
      </c>
      <c r="R9" s="18" t="s">
        <v>15</v>
      </c>
    </row>
    <row r="10" spans="1:18" ht="18" customHeight="1" x14ac:dyDescent="0.2">
      <c r="A10" s="11"/>
      <c r="B10" s="11">
        <v>2</v>
      </c>
      <c r="C10" s="11"/>
      <c r="E10" s="12">
        <f t="shared" ref="E10:E36" si="0">DATE($F$3,$F$4,B10)</f>
        <v>44349</v>
      </c>
      <c r="F10" s="13" t="str">
        <f>VLOOKUP(MOD(E10,7),$P$9:Q16,2)</f>
        <v>רביעי</v>
      </c>
      <c r="G10" s="14">
        <f ca="1">IFERROR(VLOOKUP(E10,'דוח ביצוע'!B:D,3,0),0)</f>
        <v>0</v>
      </c>
      <c r="H10" s="14">
        <f ca="1">IFERROR(VLOOKUP(E10,'דוח ביצוע'!B:E,4,0),0)</f>
        <v>0</v>
      </c>
      <c r="I10" s="15">
        <f t="shared" ref="I10:I38" ca="1" si="1">IFERROR(24*(H10-G10),"")</f>
        <v>0</v>
      </c>
      <c r="J10" s="14" t="str">
        <f ca="1">IFERROR(VLOOKUP(E10,'דוח ביצוע'!$B$3:$G$36,6,0),"")</f>
        <v/>
      </c>
      <c r="K10" s="14"/>
      <c r="L10" s="15">
        <v>0</v>
      </c>
      <c r="M10" s="16" t="s">
        <v>15</v>
      </c>
      <c r="N10" s="17"/>
      <c r="P10" s="1">
        <v>1</v>
      </c>
      <c r="Q10" s="1" t="s">
        <v>16</v>
      </c>
    </row>
    <row r="11" spans="1:18" ht="18" customHeight="1" x14ac:dyDescent="0.2">
      <c r="A11" s="11"/>
      <c r="B11" s="11">
        <v>3</v>
      </c>
      <c r="C11" s="11"/>
      <c r="E11" s="12">
        <f t="shared" si="0"/>
        <v>44350</v>
      </c>
      <c r="F11" s="13" t="str">
        <f>VLOOKUP(MOD(E11,7),$P$9:Q17,2)</f>
        <v>חמישי</v>
      </c>
      <c r="G11" s="14">
        <v>0</v>
      </c>
      <c r="H11" s="14">
        <v>0</v>
      </c>
      <c r="I11" s="15">
        <f t="shared" si="1"/>
        <v>0</v>
      </c>
      <c r="J11" s="14"/>
      <c r="K11" s="14"/>
      <c r="L11" s="15">
        <f t="shared" ref="L11:L38" si="2">IFERROR(24*(K11-J11),0)</f>
        <v>0</v>
      </c>
      <c r="M11" s="16" t="s">
        <v>15</v>
      </c>
      <c r="N11" s="17"/>
      <c r="P11" s="1">
        <v>2</v>
      </c>
      <c r="Q11" s="1" t="s">
        <v>17</v>
      </c>
    </row>
    <row r="12" spans="1:18" ht="18" customHeight="1" x14ac:dyDescent="0.2">
      <c r="A12" s="11"/>
      <c r="B12" s="11">
        <v>4</v>
      </c>
      <c r="C12" s="11"/>
      <c r="E12" s="12">
        <f t="shared" si="0"/>
        <v>44351</v>
      </c>
      <c r="F12" s="13" t="str">
        <f>VLOOKUP(MOD(E12,7),$P$9:Q18,2)</f>
        <v>שישי</v>
      </c>
      <c r="G12" s="14"/>
      <c r="H12" s="14"/>
      <c r="I12" s="15">
        <f t="shared" si="1"/>
        <v>0</v>
      </c>
      <c r="J12" s="14" t="str">
        <f ca="1">IFERROR(VLOOKUP(E12,'דוח ביצוע'!$B$3:$G$36,6,0),"")</f>
        <v/>
      </c>
      <c r="K12" s="14" t="str">
        <f ca="1">IFERROR(VLOOKUP(E12,'דוח ביצוע'!$B$3:$H$36,7,0),"")</f>
        <v/>
      </c>
      <c r="L12" s="15">
        <f t="shared" ca="1" si="2"/>
        <v>0</v>
      </c>
      <c r="M12" s="16" t="s">
        <v>15</v>
      </c>
      <c r="N12" s="17"/>
      <c r="P12" s="1">
        <v>3</v>
      </c>
      <c r="Q12" s="1" t="s">
        <v>18</v>
      </c>
    </row>
    <row r="13" spans="1:18" ht="18" customHeight="1" x14ac:dyDescent="0.2">
      <c r="A13" s="11"/>
      <c r="B13" s="11">
        <v>5</v>
      </c>
      <c r="C13" s="11"/>
      <c r="E13" s="12">
        <f t="shared" si="0"/>
        <v>44352</v>
      </c>
      <c r="F13" s="13" t="str">
        <f>VLOOKUP(MOD(E13,7),$P$9:Q19,2)</f>
        <v>שבת</v>
      </c>
      <c r="G13" s="14"/>
      <c r="H13" s="14"/>
      <c r="I13" s="15">
        <f t="shared" si="1"/>
        <v>0</v>
      </c>
      <c r="J13" s="14" t="str">
        <f ca="1">IFERROR(VLOOKUP(E13,'דוח ביצוע'!$B$3:$G$36,6,0),"")</f>
        <v/>
      </c>
      <c r="K13" s="14" t="str">
        <f ca="1">IFERROR(VLOOKUP(E13,'דוח ביצוע'!$B$3:$H$36,7,0),"")</f>
        <v/>
      </c>
      <c r="L13" s="15">
        <f t="shared" ca="1" si="2"/>
        <v>0</v>
      </c>
      <c r="M13" s="16" t="s">
        <v>15</v>
      </c>
      <c r="N13" s="17"/>
      <c r="P13" s="1">
        <v>4</v>
      </c>
      <c r="Q13" s="1" t="s">
        <v>19</v>
      </c>
    </row>
    <row r="14" spans="1:18" ht="18" customHeight="1" x14ac:dyDescent="0.2">
      <c r="A14" s="11"/>
      <c r="B14" s="11">
        <v>6</v>
      </c>
      <c r="C14" s="11"/>
      <c r="E14" s="12">
        <f t="shared" si="0"/>
        <v>44353</v>
      </c>
      <c r="F14" s="13" t="str">
        <f>VLOOKUP(MOD(E14,7),$P$9:Q20,2)</f>
        <v>ראשון</v>
      </c>
      <c r="G14" s="14">
        <f ca="1">IFERROR(VLOOKUP(E14,'דוח ביצוע'!B:D,3,0),0)</f>
        <v>0</v>
      </c>
      <c r="H14" s="14">
        <f ca="1">IFERROR(VLOOKUP(E14,'דוח ביצוע'!B:E,4,0),0)</f>
        <v>0</v>
      </c>
      <c r="I14" s="15">
        <f t="shared" ca="1" si="1"/>
        <v>0</v>
      </c>
      <c r="J14" s="14" t="str">
        <f ca="1">IFERROR(VLOOKUP(E14,'דוח ביצוע'!$B$3:$G$36,6,0),"")</f>
        <v/>
      </c>
      <c r="K14" s="14" t="str">
        <f ca="1">IFERROR(VLOOKUP(E14,'דוח ביצוע'!$B$3:$H$36,7,0),"")</f>
        <v/>
      </c>
      <c r="L14" s="15">
        <f t="shared" ca="1" si="2"/>
        <v>0</v>
      </c>
      <c r="M14" s="16"/>
      <c r="N14" s="17"/>
      <c r="P14" s="1">
        <v>5</v>
      </c>
      <c r="Q14" s="1" t="s">
        <v>20</v>
      </c>
    </row>
    <row r="15" spans="1:18" ht="18" customHeight="1" x14ac:dyDescent="0.2">
      <c r="A15" s="11"/>
      <c r="B15" s="11">
        <v>7</v>
      </c>
      <c r="C15" s="11"/>
      <c r="E15" s="12">
        <f t="shared" si="0"/>
        <v>44354</v>
      </c>
      <c r="F15" s="13" t="str">
        <f>VLOOKUP(MOD(E15,7),$P$9:Q21,2)</f>
        <v>שני</v>
      </c>
      <c r="G15" s="14">
        <v>0.33333333333333331</v>
      </c>
      <c r="H15" s="14">
        <f ca="1">IFERROR(VLOOKUP(E15,'דוח ביצוע'!B:E,4,0),0)</f>
        <v>0</v>
      </c>
      <c r="I15" s="15">
        <f t="shared" ca="1" si="1"/>
        <v>-8</v>
      </c>
      <c r="J15" s="14" t="str">
        <f ca="1">IFERROR(VLOOKUP(E15,'דוח ביצוע'!$B$3:$G$36,6,0),"")</f>
        <v/>
      </c>
      <c r="K15" s="14" t="str">
        <f ca="1">IFERROR(VLOOKUP(E15,'דוח ביצוע'!$B$3:$H$36,7,0),"")</f>
        <v/>
      </c>
      <c r="L15" s="15">
        <f t="shared" ca="1" si="2"/>
        <v>0</v>
      </c>
      <c r="M15" s="16"/>
      <c r="N15" s="17"/>
      <c r="P15" s="1">
        <v>6</v>
      </c>
      <c r="Q15" s="1" t="s">
        <v>21</v>
      </c>
    </row>
    <row r="16" spans="1:18" ht="18" customHeight="1" x14ac:dyDescent="0.2">
      <c r="A16" s="11"/>
      <c r="B16" s="11">
        <v>8</v>
      </c>
      <c r="C16" s="11"/>
      <c r="E16" s="12">
        <f t="shared" si="0"/>
        <v>44355</v>
      </c>
      <c r="F16" s="13" t="str">
        <f>VLOOKUP(MOD(E16,7),$P$9:Q22,2)</f>
        <v>שלישי</v>
      </c>
      <c r="G16" s="14">
        <f ca="1">IFERROR(VLOOKUP(E16,'דוח ביצוע'!B:D,3,0),0)</f>
        <v>0</v>
      </c>
      <c r="H16" s="14">
        <f ca="1">IFERROR(VLOOKUP(E16,'דוח ביצוע'!B:E,4,0),0)</f>
        <v>0</v>
      </c>
      <c r="I16" s="15">
        <f t="shared" ca="1" si="1"/>
        <v>0</v>
      </c>
      <c r="J16" s="14" t="str">
        <f ca="1">IFERROR(VLOOKUP(E16,'דוח ביצוע'!$B$3:$G$36,6,0),"")</f>
        <v/>
      </c>
      <c r="K16" s="14" t="str">
        <f ca="1">IFERROR(VLOOKUP(E16,'דוח ביצוע'!$B$3:$H$36,7,0),"")</f>
        <v/>
      </c>
      <c r="L16" s="15">
        <f t="shared" ca="1" si="2"/>
        <v>0</v>
      </c>
      <c r="M16" s="16"/>
      <c r="N16" s="17"/>
    </row>
    <row r="17" spans="1:14" ht="18" customHeight="1" x14ac:dyDescent="0.2">
      <c r="A17" s="11"/>
      <c r="B17" s="11">
        <v>9</v>
      </c>
      <c r="C17" s="11"/>
      <c r="E17" s="12">
        <f t="shared" si="0"/>
        <v>44356</v>
      </c>
      <c r="F17" s="13" t="str">
        <f>VLOOKUP(MOD(E17,7),$P$9:Q23,2)</f>
        <v>רביעי</v>
      </c>
      <c r="G17" s="14">
        <f ca="1">IFERROR(VLOOKUP(E17,'דוח ביצוע'!B:D,3,0),0)</f>
        <v>0</v>
      </c>
      <c r="H17" s="14">
        <f ca="1">IFERROR(VLOOKUP(E17,'דוח ביצוע'!B:E,4,0),0)</f>
        <v>0</v>
      </c>
      <c r="I17" s="15">
        <f t="shared" ca="1" si="1"/>
        <v>0</v>
      </c>
      <c r="J17" s="14" t="str">
        <f ca="1">IFERROR(VLOOKUP(E17,'דוח ביצוע'!$B$3:$G$36,6,0),"")</f>
        <v/>
      </c>
      <c r="K17" s="14" t="str">
        <f ca="1">IFERROR(VLOOKUP(E17,'דוח ביצוע'!$B$3:$H$36,7,0),"")</f>
        <v/>
      </c>
      <c r="L17" s="15">
        <f t="shared" ca="1" si="2"/>
        <v>0</v>
      </c>
      <c r="M17" s="16"/>
      <c r="N17" s="17"/>
    </row>
    <row r="18" spans="1:14" ht="18" customHeight="1" x14ac:dyDescent="0.2">
      <c r="A18" s="11"/>
      <c r="B18" s="11">
        <v>10</v>
      </c>
      <c r="C18" s="11"/>
      <c r="E18" s="12">
        <f t="shared" si="0"/>
        <v>44357</v>
      </c>
      <c r="F18" s="13" t="str">
        <f>VLOOKUP(MOD(E18,7),$P$9:Q24,2)</f>
        <v>חמישי</v>
      </c>
      <c r="G18" s="14">
        <f ca="1">IFERROR(VLOOKUP(E18,'דוח ביצוע'!B:D,3,0),0)</f>
        <v>0</v>
      </c>
      <c r="H18" s="14">
        <f ca="1">IFERROR(VLOOKUP(E18,'דוח ביצוע'!B:E,4,0),0)</f>
        <v>0</v>
      </c>
      <c r="I18" s="15">
        <f t="shared" ca="1" si="1"/>
        <v>0</v>
      </c>
      <c r="J18" s="14" t="str">
        <f ca="1">IFERROR(VLOOKUP(E18,'דוח ביצוע'!$B$3:$G$36,6,0),"")</f>
        <v/>
      </c>
      <c r="K18" s="14" t="str">
        <f ca="1">IFERROR(VLOOKUP(E18,'דוח ביצוע'!$B$3:$H$36,7,0),"")</f>
        <v/>
      </c>
      <c r="L18" s="15">
        <f t="shared" ca="1" si="2"/>
        <v>0</v>
      </c>
      <c r="M18" s="16"/>
      <c r="N18" s="17"/>
    </row>
    <row r="19" spans="1:14" ht="18" customHeight="1" x14ac:dyDescent="0.2">
      <c r="A19" s="11"/>
      <c r="B19" s="11">
        <v>11</v>
      </c>
      <c r="C19" s="11"/>
      <c r="E19" s="12">
        <f t="shared" si="0"/>
        <v>44358</v>
      </c>
      <c r="F19" s="13" t="str">
        <f>VLOOKUP(MOD(E19,7),$P$9:Q25,2)</f>
        <v>שישי</v>
      </c>
      <c r="G19" s="14"/>
      <c r="H19" s="14"/>
      <c r="I19" s="15">
        <f t="shared" si="1"/>
        <v>0</v>
      </c>
      <c r="J19" s="14" t="str">
        <f ca="1">IFERROR(VLOOKUP(E19,'דוח ביצוע'!$B$3:$G$36,6,0),"")</f>
        <v/>
      </c>
      <c r="K19" s="14" t="str">
        <f ca="1">IFERROR(VLOOKUP(E19,'דוח ביצוע'!$B$3:$H$36,7,0),"")</f>
        <v/>
      </c>
      <c r="L19" s="15">
        <f t="shared" ca="1" si="2"/>
        <v>0</v>
      </c>
      <c r="M19" s="16"/>
      <c r="N19" s="17"/>
    </row>
    <row r="20" spans="1:14" ht="18" customHeight="1" x14ac:dyDescent="0.2">
      <c r="A20" s="11"/>
      <c r="B20" s="11">
        <v>12</v>
      </c>
      <c r="C20" s="11"/>
      <c r="E20" s="12">
        <f t="shared" si="0"/>
        <v>44359</v>
      </c>
      <c r="F20" s="13" t="str">
        <f>VLOOKUP(MOD(E20,7),$P$9:Q26,2)</f>
        <v>שבת</v>
      </c>
      <c r="G20" s="14"/>
      <c r="H20" s="14"/>
      <c r="I20" s="15">
        <f t="shared" si="1"/>
        <v>0</v>
      </c>
      <c r="J20" s="14" t="str">
        <f ca="1">IFERROR(VLOOKUP(E20,'דוח ביצוע'!$B$3:$G$36,6,0),"")</f>
        <v/>
      </c>
      <c r="K20" s="14" t="str">
        <f ca="1">IFERROR(VLOOKUP(E20,'דוח ביצוע'!$B$3:$H$36,7,0),"")</f>
        <v/>
      </c>
      <c r="L20" s="15">
        <f t="shared" ca="1" si="2"/>
        <v>0</v>
      </c>
      <c r="M20" s="16"/>
      <c r="N20" s="17"/>
    </row>
    <row r="21" spans="1:14" ht="18" customHeight="1" x14ac:dyDescent="0.2">
      <c r="A21" s="11"/>
      <c r="B21" s="11">
        <v>13</v>
      </c>
      <c r="C21" s="11"/>
      <c r="E21" s="12">
        <f t="shared" si="0"/>
        <v>44360</v>
      </c>
      <c r="F21" s="13" t="str">
        <f>VLOOKUP(MOD(E21,7),$P$9:Q27,2)</f>
        <v>ראשון</v>
      </c>
      <c r="G21" s="14">
        <f ca="1">IFERROR(VLOOKUP(E21,'דוח ביצוע'!B:D,3,0),0)</f>
        <v>0</v>
      </c>
      <c r="H21" s="14">
        <f ca="1">IFERROR(VLOOKUP(E21,'דוח ביצוע'!B:E,4,0),0)</f>
        <v>0</v>
      </c>
      <c r="I21" s="15">
        <f t="shared" ca="1" si="1"/>
        <v>0</v>
      </c>
      <c r="J21" s="14" t="str">
        <f ca="1">IFERROR(VLOOKUP(E21,'דוח ביצוע'!$B$3:$G$36,6,0),"")</f>
        <v/>
      </c>
      <c r="K21" s="14" t="str">
        <f ca="1">IFERROR(VLOOKUP(E21,'דוח ביצוע'!$B$3:$H$36,7,0),"")</f>
        <v/>
      </c>
      <c r="L21" s="15">
        <f t="shared" ca="1" si="2"/>
        <v>0</v>
      </c>
      <c r="M21" s="16"/>
      <c r="N21" s="17"/>
    </row>
    <row r="22" spans="1:14" ht="18" customHeight="1" x14ac:dyDescent="0.2">
      <c r="A22" s="11"/>
      <c r="B22" s="11">
        <v>14</v>
      </c>
      <c r="C22" s="11"/>
      <c r="E22" s="12">
        <f t="shared" si="0"/>
        <v>44361</v>
      </c>
      <c r="F22" s="13" t="str">
        <f>VLOOKUP(MOD(E22,7),$P$9:Q28,2)</f>
        <v>שני</v>
      </c>
      <c r="G22" s="14">
        <f ca="1">IFERROR(VLOOKUP(E22,'דוח ביצוע'!B:D,3,0),0)</f>
        <v>0</v>
      </c>
      <c r="H22" s="14">
        <f ca="1">IFERROR(VLOOKUP(E22,'דוח ביצוע'!B:E,4,0),0)</f>
        <v>0</v>
      </c>
      <c r="I22" s="15">
        <f t="shared" ca="1" si="1"/>
        <v>0</v>
      </c>
      <c r="J22" s="14" t="str">
        <f ca="1">IFERROR(VLOOKUP(E22,'דוח ביצוע'!$B$3:$G$36,6,0),"")</f>
        <v/>
      </c>
      <c r="K22" s="14" t="str">
        <f ca="1">IFERROR(VLOOKUP(E22,'דוח ביצוע'!$B$3:$H$36,7,0),"")</f>
        <v/>
      </c>
      <c r="L22" s="15">
        <f t="shared" ca="1" si="2"/>
        <v>0</v>
      </c>
      <c r="M22" s="16"/>
      <c r="N22" s="17"/>
    </row>
    <row r="23" spans="1:14" ht="18" customHeight="1" x14ac:dyDescent="0.2">
      <c r="A23" s="11"/>
      <c r="B23" s="11">
        <v>15</v>
      </c>
      <c r="C23" s="11"/>
      <c r="E23" s="12">
        <f t="shared" si="0"/>
        <v>44362</v>
      </c>
      <c r="F23" s="13" t="str">
        <f>VLOOKUP(MOD(E23,7),$P$9:Q29,2)</f>
        <v>שלישי</v>
      </c>
      <c r="G23" s="14">
        <f ca="1">IFERROR(VLOOKUP(E23,'דוח ביצוע'!B:D,3,0),0)</f>
        <v>0</v>
      </c>
      <c r="H23" s="14">
        <f ca="1">IFERROR(VLOOKUP(E23,'דוח ביצוע'!B:E,4,0),0)</f>
        <v>0</v>
      </c>
      <c r="I23" s="15">
        <f t="shared" ca="1" si="1"/>
        <v>0</v>
      </c>
      <c r="J23" s="14" t="str">
        <f ca="1">IFERROR(VLOOKUP(E23,'דוח ביצוע'!$B$3:$G$36,6,0),"")</f>
        <v/>
      </c>
      <c r="K23" s="14" t="str">
        <f ca="1">IFERROR(VLOOKUP(E23,'דוח ביצוע'!$B$3:$H$36,7,0),"")</f>
        <v/>
      </c>
      <c r="L23" s="15">
        <f t="shared" ca="1" si="2"/>
        <v>0</v>
      </c>
      <c r="M23" s="16"/>
      <c r="N23" s="17"/>
    </row>
    <row r="24" spans="1:14" ht="18" customHeight="1" x14ac:dyDescent="0.2">
      <c r="A24" s="11"/>
      <c r="B24" s="11">
        <v>16</v>
      </c>
      <c r="C24" s="11"/>
      <c r="E24" s="12">
        <f t="shared" si="0"/>
        <v>44363</v>
      </c>
      <c r="F24" s="13" t="str">
        <f>VLOOKUP(MOD(E24,7),$P$9:Q30,2)</f>
        <v>רביעי</v>
      </c>
      <c r="G24" s="14">
        <f ca="1">IFERROR(VLOOKUP(E24,'דוח ביצוע'!B:D,3,0),0)</f>
        <v>0</v>
      </c>
      <c r="H24" s="14">
        <f ca="1">IFERROR(VLOOKUP(E24,'דוח ביצוע'!B:E,4,0),0)</f>
        <v>0</v>
      </c>
      <c r="I24" s="15">
        <f t="shared" ca="1" si="1"/>
        <v>0</v>
      </c>
      <c r="J24" s="14" t="str">
        <f ca="1">IFERROR(VLOOKUP(E24,'דוח ביצוע'!$B$3:$G$36,6,0),"")</f>
        <v/>
      </c>
      <c r="K24" s="14" t="str">
        <f ca="1">IFERROR(VLOOKUP(E24,'דוח ביצוע'!$B$3:$H$36,7,0),"")</f>
        <v/>
      </c>
      <c r="L24" s="15">
        <f t="shared" ca="1" si="2"/>
        <v>0</v>
      </c>
      <c r="M24" s="16"/>
      <c r="N24" s="17"/>
    </row>
    <row r="25" spans="1:14" ht="18" customHeight="1" x14ac:dyDescent="0.2">
      <c r="A25" s="11"/>
      <c r="B25" s="11">
        <v>17</v>
      </c>
      <c r="C25" s="11"/>
      <c r="E25" s="12">
        <f t="shared" si="0"/>
        <v>44364</v>
      </c>
      <c r="F25" s="13" t="str">
        <f>VLOOKUP(MOD(E25,7),$P$9:Q31,2)</f>
        <v>חמישי</v>
      </c>
      <c r="G25" s="14">
        <f ca="1">IFERROR(VLOOKUP(E25,'דוח ביצוע'!B:D,3,0),0)</f>
        <v>0</v>
      </c>
      <c r="H25" s="14">
        <f ca="1">IFERROR(VLOOKUP(E25,'דוח ביצוע'!B:E,4,0),0)</f>
        <v>0</v>
      </c>
      <c r="I25" s="15">
        <f t="shared" ca="1" si="1"/>
        <v>0</v>
      </c>
      <c r="J25" s="14" t="str">
        <f ca="1">IFERROR(VLOOKUP(E25,'דוח ביצוע'!$B$3:$G$36,6,0),"")</f>
        <v/>
      </c>
      <c r="K25" s="14" t="str">
        <f ca="1">IFERROR(VLOOKUP(E25,'דוח ביצוע'!$B$3:$H$36,7,0),"")</f>
        <v/>
      </c>
      <c r="L25" s="15">
        <f t="shared" ca="1" si="2"/>
        <v>0</v>
      </c>
      <c r="M25" s="16"/>
      <c r="N25" s="17"/>
    </row>
    <row r="26" spans="1:14" ht="18" customHeight="1" x14ac:dyDescent="0.2">
      <c r="A26" s="11"/>
      <c r="B26" s="11">
        <v>18</v>
      </c>
      <c r="C26" s="11"/>
      <c r="E26" s="12">
        <f t="shared" si="0"/>
        <v>44365</v>
      </c>
      <c r="F26" s="13" t="str">
        <f>VLOOKUP(MOD(E26,7),$P$9:Q32,2)</f>
        <v>שישי</v>
      </c>
      <c r="G26" s="14"/>
      <c r="H26" s="14"/>
      <c r="I26" s="15">
        <f t="shared" si="1"/>
        <v>0</v>
      </c>
      <c r="J26" s="14" t="str">
        <f ca="1">IFERROR(VLOOKUP(E26,'דוח ביצוע'!$B$3:$G$36,6,0),"")</f>
        <v/>
      </c>
      <c r="K26" s="14" t="str">
        <f ca="1">IFERROR(VLOOKUP(E26,'דוח ביצוע'!$B$3:$H$36,7,0),"")</f>
        <v/>
      </c>
      <c r="L26" s="15">
        <f t="shared" ca="1" si="2"/>
        <v>0</v>
      </c>
      <c r="M26" s="16"/>
      <c r="N26" s="17"/>
    </row>
    <row r="27" spans="1:14" ht="18" customHeight="1" x14ac:dyDescent="0.2">
      <c r="A27" s="11"/>
      <c r="B27" s="11">
        <v>19</v>
      </c>
      <c r="C27" s="11"/>
      <c r="E27" s="12">
        <f t="shared" si="0"/>
        <v>44366</v>
      </c>
      <c r="F27" s="13" t="str">
        <f>VLOOKUP(MOD(E27,7),$P$9:Q33,2)</f>
        <v>שבת</v>
      </c>
      <c r="G27" s="14"/>
      <c r="H27" s="14"/>
      <c r="I27" s="15">
        <f t="shared" si="1"/>
        <v>0</v>
      </c>
      <c r="J27" s="14" t="str">
        <f ca="1">IFERROR(VLOOKUP(E27,'דוח ביצוע'!$B$3:$G$36,6,0),"")</f>
        <v/>
      </c>
      <c r="K27" s="14" t="str">
        <f ca="1">IFERROR(VLOOKUP(E27,'דוח ביצוע'!$B$3:$H$36,7,0),"")</f>
        <v/>
      </c>
      <c r="L27" s="15">
        <f t="shared" ca="1" si="2"/>
        <v>0</v>
      </c>
      <c r="M27" s="16"/>
      <c r="N27" s="17"/>
    </row>
    <row r="28" spans="1:14" ht="18" customHeight="1" x14ac:dyDescent="0.2">
      <c r="A28" s="11"/>
      <c r="B28" s="11">
        <v>20</v>
      </c>
      <c r="C28" s="11"/>
      <c r="E28" s="12">
        <f t="shared" si="0"/>
        <v>44367</v>
      </c>
      <c r="F28" s="13" t="str">
        <f>VLOOKUP(MOD(E28,7),$P$9:Q34,2)</f>
        <v>ראשון</v>
      </c>
      <c r="G28" s="14">
        <f ca="1">IFERROR(VLOOKUP(E28,'דוח ביצוע'!B:D,3,0),0)</f>
        <v>0</v>
      </c>
      <c r="H28" s="14">
        <f ca="1">IFERROR(VLOOKUP(E28,'דוח ביצוע'!B:E,4,0),0)</f>
        <v>0</v>
      </c>
      <c r="I28" s="15">
        <f t="shared" ca="1" si="1"/>
        <v>0</v>
      </c>
      <c r="J28" s="14" t="str">
        <f ca="1">IFERROR(VLOOKUP(E28,'דוח ביצוע'!$B$3:$G$36,6,0),"")</f>
        <v/>
      </c>
      <c r="K28" s="14" t="str">
        <f ca="1">IFERROR(VLOOKUP(E28,'דוח ביצוע'!$B$3:$H$36,7,0),"")</f>
        <v/>
      </c>
      <c r="L28" s="15">
        <f t="shared" ca="1" si="2"/>
        <v>0</v>
      </c>
      <c r="M28" s="16"/>
      <c r="N28" s="17"/>
    </row>
    <row r="29" spans="1:14" ht="18" customHeight="1" x14ac:dyDescent="0.2">
      <c r="A29" s="11"/>
      <c r="B29" s="11">
        <v>21</v>
      </c>
      <c r="C29" s="11"/>
      <c r="E29" s="12">
        <f t="shared" si="0"/>
        <v>44368</v>
      </c>
      <c r="F29" s="13" t="str">
        <f>VLOOKUP(MOD(E29,7),$P$9:Q35,2)</f>
        <v>שני</v>
      </c>
      <c r="G29" s="14">
        <f ca="1">IFERROR(VLOOKUP(E29,'דוח ביצוע'!B:D,3,0),0)</f>
        <v>0</v>
      </c>
      <c r="H29" s="14">
        <f ca="1">IFERROR(VLOOKUP(E29,'דוח ביצוע'!B:E,4,0),0)</f>
        <v>0</v>
      </c>
      <c r="I29" s="15">
        <f t="shared" ca="1" si="1"/>
        <v>0</v>
      </c>
      <c r="J29" s="14" t="str">
        <f ca="1">IFERROR(VLOOKUP(E29,'דוח ביצוע'!$B$3:$G$36,6,0),"")</f>
        <v/>
      </c>
      <c r="K29" s="14" t="str">
        <f ca="1">IFERROR(VLOOKUP(E29,'דוח ביצוע'!$B$3:$H$36,7,0),"")</f>
        <v/>
      </c>
      <c r="L29" s="15">
        <f t="shared" ca="1" si="2"/>
        <v>0</v>
      </c>
      <c r="M29" s="16"/>
      <c r="N29" s="17"/>
    </row>
    <row r="30" spans="1:14" ht="18" customHeight="1" x14ac:dyDescent="0.2">
      <c r="A30" s="11"/>
      <c r="B30" s="11">
        <v>22</v>
      </c>
      <c r="C30" s="11"/>
      <c r="E30" s="12">
        <f t="shared" si="0"/>
        <v>44369</v>
      </c>
      <c r="F30" s="13" t="str">
        <f>VLOOKUP(MOD(E30,7),$P$9:Q36,2)</f>
        <v>שלישי</v>
      </c>
      <c r="G30" s="14">
        <f ca="1">IFERROR(VLOOKUP(E30,'דוח ביצוע'!B:D,3,0),0)</f>
        <v>0</v>
      </c>
      <c r="H30" s="14">
        <f ca="1">IFERROR(VLOOKUP(E30,'דוח ביצוע'!B:E,4,0),0)</f>
        <v>0</v>
      </c>
      <c r="I30" s="15">
        <f t="shared" ca="1" si="1"/>
        <v>0</v>
      </c>
      <c r="J30" s="14" t="str">
        <f ca="1">IFERROR(VLOOKUP(E30,'דוח ביצוע'!$B$3:$G$36,6,0),"")</f>
        <v/>
      </c>
      <c r="K30" s="14" t="str">
        <f ca="1">IFERROR(VLOOKUP(E30,'דוח ביצוע'!$B$3:$H$36,7,0),"")</f>
        <v/>
      </c>
      <c r="L30" s="15">
        <f t="shared" ca="1" si="2"/>
        <v>0</v>
      </c>
      <c r="M30" s="16"/>
      <c r="N30" s="17"/>
    </row>
    <row r="31" spans="1:14" ht="18" customHeight="1" x14ac:dyDescent="0.2">
      <c r="A31" s="11"/>
      <c r="B31" s="11">
        <v>23</v>
      </c>
      <c r="C31" s="11"/>
      <c r="E31" s="12">
        <f t="shared" si="0"/>
        <v>44370</v>
      </c>
      <c r="F31" s="13" t="str">
        <f>VLOOKUP(MOD(E31,7),$P$9:Q37,2)</f>
        <v>רביעי</v>
      </c>
      <c r="G31" s="14">
        <f ca="1">IFERROR(VLOOKUP(E31,'דוח ביצוע'!B:D,3,0),0)</f>
        <v>0</v>
      </c>
      <c r="H31" s="14">
        <f ca="1">IFERROR(VLOOKUP(E31,'דוח ביצוע'!B:E,4,0),0)</f>
        <v>0</v>
      </c>
      <c r="I31" s="15">
        <f t="shared" ca="1" si="1"/>
        <v>0</v>
      </c>
      <c r="J31" s="14" t="str">
        <f ca="1">IFERROR(VLOOKUP(E31,'דוח ביצוע'!$B$3:$G$36,6,0),"")</f>
        <v/>
      </c>
      <c r="K31" s="14" t="str">
        <f ca="1">IFERROR(VLOOKUP(E31,'דוח ביצוע'!$B$3:$H$36,7,0),"")</f>
        <v/>
      </c>
      <c r="L31" s="15">
        <f t="shared" ca="1" si="2"/>
        <v>0</v>
      </c>
      <c r="M31" s="16"/>
      <c r="N31" s="17"/>
    </row>
    <row r="32" spans="1:14" ht="18" customHeight="1" x14ac:dyDescent="0.2">
      <c r="A32" s="11"/>
      <c r="B32" s="11">
        <v>24</v>
      </c>
      <c r="C32" s="11"/>
      <c r="E32" s="12">
        <f t="shared" si="0"/>
        <v>44371</v>
      </c>
      <c r="F32" s="13" t="str">
        <f>VLOOKUP(MOD(E32,7),$P$9:Q38,2)</f>
        <v>חמישי</v>
      </c>
      <c r="G32" s="14">
        <f ca="1">IFERROR(VLOOKUP(E32,'דוח ביצוע'!B:D,3,0),0)</f>
        <v>0</v>
      </c>
      <c r="H32" s="14">
        <f ca="1">IFERROR(VLOOKUP(E32,'דוח ביצוע'!B:E,4,0),0)</f>
        <v>0</v>
      </c>
      <c r="I32" s="15">
        <f t="shared" ca="1" si="1"/>
        <v>0</v>
      </c>
      <c r="J32" s="14" t="str">
        <f ca="1">IFERROR(VLOOKUP(E32,'דוח ביצוע'!$B$3:$G$36,6,0),"")</f>
        <v/>
      </c>
      <c r="K32" s="14" t="str">
        <f ca="1">IFERROR(VLOOKUP(E32,'דוח ביצוע'!$B$3:$H$36,7,0),"")</f>
        <v/>
      </c>
      <c r="L32" s="15">
        <f t="shared" ca="1" si="2"/>
        <v>0</v>
      </c>
      <c r="M32" s="16"/>
      <c r="N32" s="17"/>
    </row>
    <row r="33" spans="1:17" ht="18" customHeight="1" x14ac:dyDescent="0.2">
      <c r="A33" s="11"/>
      <c r="B33" s="11">
        <v>25</v>
      </c>
      <c r="C33" s="11"/>
      <c r="E33" s="12">
        <f t="shared" si="0"/>
        <v>44372</v>
      </c>
      <c r="F33" s="13" t="str">
        <f>VLOOKUP(MOD(E33,7),$P$9:Q38,2)</f>
        <v>שישי</v>
      </c>
      <c r="G33" s="14"/>
      <c r="H33" s="14"/>
      <c r="I33" s="15">
        <f t="shared" si="1"/>
        <v>0</v>
      </c>
      <c r="J33" s="14" t="str">
        <f ca="1">IFERROR(VLOOKUP(E33,'דוח ביצוע'!$B$3:$G$36,6,0),"")</f>
        <v/>
      </c>
      <c r="K33" s="14" t="str">
        <f ca="1">IFERROR(VLOOKUP(E33,'דוח ביצוע'!$B$3:$H$36,7,0),"")</f>
        <v/>
      </c>
      <c r="L33" s="15">
        <f t="shared" ca="1" si="2"/>
        <v>0</v>
      </c>
      <c r="M33" s="16"/>
      <c r="N33" s="17"/>
    </row>
    <row r="34" spans="1:17" ht="18" customHeight="1" x14ac:dyDescent="0.2">
      <c r="A34" s="11"/>
      <c r="B34" s="11">
        <v>26</v>
      </c>
      <c r="C34" s="11"/>
      <c r="E34" s="12">
        <f t="shared" si="0"/>
        <v>44373</v>
      </c>
      <c r="F34" s="13" t="str">
        <f>VLOOKUP(MOD(E34,7),$P$9:Q41,2)</f>
        <v>שבת</v>
      </c>
      <c r="G34" s="14"/>
      <c r="H34" s="14"/>
      <c r="I34" s="15">
        <f t="shared" si="1"/>
        <v>0</v>
      </c>
      <c r="J34" s="14" t="str">
        <f ca="1">IFERROR(VLOOKUP(E34,'דוח ביצוע'!$B$3:$G$36,6,0),"")</f>
        <v/>
      </c>
      <c r="K34" s="14" t="str">
        <f ca="1">IFERROR(VLOOKUP(E34,'דוח ביצוע'!$B$3:$H$36,7,0),"")</f>
        <v/>
      </c>
      <c r="L34" s="15">
        <f t="shared" ca="1" si="2"/>
        <v>0</v>
      </c>
      <c r="M34" s="16"/>
      <c r="N34" s="17"/>
    </row>
    <row r="35" spans="1:17" ht="18" customHeight="1" x14ac:dyDescent="0.2">
      <c r="A35" s="11"/>
      <c r="B35" s="11">
        <v>27</v>
      </c>
      <c r="C35" s="11"/>
      <c r="E35" s="12">
        <f t="shared" si="0"/>
        <v>44374</v>
      </c>
      <c r="F35" s="13" t="str">
        <f>VLOOKUP(MOD(E35,7),$P$9:Q41,2)</f>
        <v>ראשון</v>
      </c>
      <c r="G35" s="14">
        <f ca="1">IFERROR(VLOOKUP(E35,'דוח ביצוע'!B:D,3,0),0)</f>
        <v>0</v>
      </c>
      <c r="H35" s="14">
        <f ca="1">IFERROR(VLOOKUP(E35,'דוח ביצוע'!B:E,4,0),0)</f>
        <v>0</v>
      </c>
      <c r="I35" s="15">
        <f t="shared" ca="1" si="1"/>
        <v>0</v>
      </c>
      <c r="J35" s="14" t="str">
        <f ca="1">IFERROR(VLOOKUP(E35,'דוח ביצוע'!$B$3:$G$36,6,0),"")</f>
        <v/>
      </c>
      <c r="K35" s="14" t="str">
        <f ca="1">IFERROR(VLOOKUP(E35,'דוח ביצוע'!$B$3:$H$36,7,0),"")</f>
        <v/>
      </c>
      <c r="L35" s="15">
        <f t="shared" ca="1" si="2"/>
        <v>0</v>
      </c>
      <c r="M35" s="16"/>
      <c r="N35" s="17"/>
    </row>
    <row r="36" spans="1:17" ht="18" customHeight="1" x14ac:dyDescent="0.2">
      <c r="A36" s="11"/>
      <c r="B36" s="11">
        <v>28</v>
      </c>
      <c r="C36" s="11"/>
      <c r="E36" s="12">
        <f t="shared" si="0"/>
        <v>44375</v>
      </c>
      <c r="F36" s="13" t="str">
        <f>VLOOKUP(MOD(E36,7),$P$9:Q41,2)</f>
        <v>שני</v>
      </c>
      <c r="G36" s="14">
        <f ca="1">IFERROR(VLOOKUP(E36,'דוח ביצוע'!B:D,3,0),0)</f>
        <v>0</v>
      </c>
      <c r="H36" s="14">
        <f ca="1">IFERROR(VLOOKUP(E36,'דוח ביצוע'!B:E,4,0),0)</f>
        <v>0</v>
      </c>
      <c r="I36" s="15">
        <f t="shared" ca="1" si="1"/>
        <v>0</v>
      </c>
      <c r="J36" s="14" t="str">
        <f ca="1">IFERROR(VLOOKUP(E36,'דוח ביצוע'!$B$3:$G$36,6,0),"")</f>
        <v/>
      </c>
      <c r="K36" s="14" t="str">
        <f ca="1">IFERROR(VLOOKUP(E36,'דוח ביצוע'!$B$3:$H$36,7,0),"")</f>
        <v/>
      </c>
      <c r="L36" s="15">
        <f t="shared" ca="1" si="2"/>
        <v>0</v>
      </c>
      <c r="M36" s="16"/>
      <c r="N36" s="17"/>
      <c r="P36" s="19"/>
    </row>
    <row r="37" spans="1:17" ht="18" customHeight="1" x14ac:dyDescent="0.2">
      <c r="A37" s="12">
        <f>DATE($F$3,$F$4,B37)</f>
        <v>44376</v>
      </c>
      <c r="B37" s="11">
        <v>29</v>
      </c>
      <c r="C37" s="11" t="b">
        <f>+MONTH(E36)=MONTH(A37)</f>
        <v>1</v>
      </c>
      <c r="E37" s="12">
        <f>IF(C37=TRUE,DATE($F$3,$F$4,B37),0)</f>
        <v>44376</v>
      </c>
      <c r="F37" s="13" t="str">
        <f>IF(C37=TRUE,VLOOKUP(MOD(E37,7),$P$9:Q41,2),0)</f>
        <v>שלישי</v>
      </c>
      <c r="G37" s="14">
        <f ca="1">IFERROR(VLOOKUP(E37,'דוח ביצוע'!B:D,3,0),0)</f>
        <v>0</v>
      </c>
      <c r="H37" s="14">
        <f ca="1">IFERROR(VLOOKUP(E37,'דוח ביצוע'!B:E,4,0),0)</f>
        <v>0</v>
      </c>
      <c r="I37" s="15">
        <f t="shared" ca="1" si="1"/>
        <v>0</v>
      </c>
      <c r="J37" s="14" t="str">
        <f ca="1">IFERROR(VLOOKUP(E37,'דוח ביצוע'!$B$3:$G$36,6,0),"")</f>
        <v/>
      </c>
      <c r="K37" s="14" t="str">
        <f ca="1">IFERROR(VLOOKUP(E37,'דוח ביצוע'!$B$3:$H$36,7,0),"")</f>
        <v/>
      </c>
      <c r="L37" s="15">
        <f t="shared" ca="1" si="2"/>
        <v>0</v>
      </c>
      <c r="M37" s="16"/>
      <c r="N37" s="17"/>
      <c r="P37" s="19"/>
      <c r="Q37" s="20"/>
    </row>
    <row r="38" spans="1:17" ht="18" customHeight="1" x14ac:dyDescent="0.2">
      <c r="A38" s="12">
        <f>DATE($F$3,$F$4,B38)</f>
        <v>44377</v>
      </c>
      <c r="B38" s="11">
        <v>30</v>
      </c>
      <c r="C38" s="11" t="b">
        <f>+MONTH(E36)=MONTH(A38)</f>
        <v>1</v>
      </c>
      <c r="E38" s="12">
        <f>IF(C38=TRUE,DATE($F$3,$F$4,B38),0)</f>
        <v>44377</v>
      </c>
      <c r="F38" s="13" t="str">
        <f>IF(C38=TRUE,VLOOKUP(MOD(E38,7),$P$9:Q42,2),0)</f>
        <v>רביעי</v>
      </c>
      <c r="G38" s="14">
        <f ca="1">IFERROR(VLOOKUP(E38,'דוח ביצוע'!B:D,3,0),0)</f>
        <v>0</v>
      </c>
      <c r="H38" s="14">
        <f ca="1">IFERROR(VLOOKUP(E38,'דוח ביצוע'!B:E,4,0),0)</f>
        <v>0</v>
      </c>
      <c r="I38" s="15">
        <f t="shared" ca="1" si="1"/>
        <v>0</v>
      </c>
      <c r="J38" s="14" t="str">
        <f ca="1">IFERROR(VLOOKUP(E38,'דוח ביצוע'!$B$3:$G$36,6,0),"")</f>
        <v/>
      </c>
      <c r="K38" s="14" t="str">
        <f ca="1">IFERROR(VLOOKUP(E38,'דוח ביצוע'!$B$3:$H$36,7,0),"")</f>
        <v/>
      </c>
      <c r="L38" s="15">
        <f t="shared" ca="1" si="2"/>
        <v>0</v>
      </c>
      <c r="M38" s="16"/>
      <c r="N38" s="17"/>
      <c r="P38" s="19"/>
    </row>
    <row r="39" spans="1:17" ht="18" customHeight="1" x14ac:dyDescent="0.2">
      <c r="E39" s="21"/>
      <c r="F39" s="22"/>
      <c r="G39" s="23"/>
      <c r="H39" s="23"/>
      <c r="I39" s="24"/>
      <c r="J39" s="23"/>
      <c r="K39" s="23"/>
      <c r="L39" s="24"/>
      <c r="M39" s="25"/>
      <c r="N39" s="10"/>
    </row>
    <row r="40" spans="1:17" ht="18" customHeight="1" x14ac:dyDescent="0.2">
      <c r="F40" s="22"/>
      <c r="G40" s="23"/>
      <c r="H40" s="23"/>
      <c r="I40" s="24"/>
      <c r="J40" s="23"/>
      <c r="K40" s="23"/>
      <c r="L40" s="24"/>
      <c r="M40" s="25"/>
      <c r="N40" s="10"/>
    </row>
    <row r="41" spans="1:17" s="2" customFormat="1" ht="24.95" customHeight="1" x14ac:dyDescent="0.2">
      <c r="G41" s="146" t="s">
        <v>22</v>
      </c>
      <c r="H41" s="147"/>
      <c r="I41" s="26">
        <f ca="1">SUM(I9:I38)</f>
        <v>-8</v>
      </c>
      <c r="L41" s="148" t="s">
        <v>23</v>
      </c>
      <c r="M41" s="149"/>
      <c r="N41" s="27"/>
      <c r="O41" s="28"/>
    </row>
    <row r="42" spans="1:17" s="2" customFormat="1" ht="24.95" customHeight="1" x14ac:dyDescent="0.15">
      <c r="G42" s="146" t="s">
        <v>24</v>
      </c>
      <c r="H42" s="147"/>
      <c r="I42" s="26">
        <f ca="1">SUM(L9:L38)</f>
        <v>0</v>
      </c>
      <c r="L42" s="148" t="s">
        <v>25</v>
      </c>
      <c r="M42" s="149"/>
      <c r="N42" s="17"/>
      <c r="O42" s="28"/>
    </row>
    <row r="43" spans="1:17" s="2" customFormat="1" ht="24.95" customHeight="1" x14ac:dyDescent="0.15">
      <c r="G43" s="146" t="s">
        <v>26</v>
      </c>
      <c r="H43" s="147"/>
      <c r="I43" s="29">
        <f>COUNTA(M9:M38)</f>
        <v>5</v>
      </c>
      <c r="L43" s="148" t="s">
        <v>27</v>
      </c>
      <c r="M43" s="149"/>
      <c r="N43" s="17"/>
      <c r="O43" s="28"/>
    </row>
    <row r="44" spans="1:17" ht="18" customHeight="1" x14ac:dyDescent="0.2"/>
  </sheetData>
  <mergeCells count="10">
    <mergeCell ref="I3:K3"/>
    <mergeCell ref="I4:K4"/>
    <mergeCell ref="G7:I7"/>
    <mergeCell ref="J7:L7"/>
    <mergeCell ref="G43:H43"/>
    <mergeCell ref="L43:M43"/>
    <mergeCell ref="G41:H41"/>
    <mergeCell ref="L41:M41"/>
    <mergeCell ref="G42:H42"/>
    <mergeCell ref="L42:M42"/>
  </mergeCells>
  <dataValidations count="5">
    <dataValidation type="whole" allowBlank="1" showInputMessage="1" showErrorMessage="1" sqref="F3" xr:uid="{00000000-0002-0000-0800-000000000000}">
      <formula1>2002</formula1>
      <formula2>2100</formula2>
    </dataValidation>
    <dataValidation type="whole" allowBlank="1" showInputMessage="1" showErrorMessage="1" sqref="F4" xr:uid="{00000000-0002-0000-0800-000001000000}">
      <formula1>1</formula1>
      <formula2>12</formula2>
    </dataValidation>
    <dataValidation type="whole" allowBlank="1" showInputMessage="1" showErrorMessage="1" sqref="F5" xr:uid="{00000000-0002-0000-0800-000002000000}">
      <formula1>150</formula1>
      <formula2>216</formula2>
    </dataValidation>
    <dataValidation type="list" allowBlank="1" showInputMessage="1" showErrorMessage="1" sqref="M9:M40" xr:uid="{00000000-0002-0000-0800-000003000000}">
      <formula1>$R$9:$R$10</formula1>
    </dataValidation>
    <dataValidation type="time" allowBlank="1" showInputMessage="1" showErrorMessage="1" sqref="J39:K40 G9:H10 G12:H40" xr:uid="{00000000-0002-0000-0800-000004000000}">
      <formula1>0</formula1>
      <formula2>0.999305555555556</formula2>
    </dataValidation>
  </dataValidations>
  <pageMargins left="0.7" right="0.7" top="0.75" bottom="0.75" header="0.3" footer="0.3"/>
  <pageSetup paperSize="9" scale="82" orientation="portrait" r:id="rId1"/>
  <ignoredErrors>
    <ignoredError sqref="H10 H15:H18 H22:H25 H29:H32 H36:H38 H9 H14 H21 H28 H35" unlockedFormula="1"/>
  </ignoredError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גיליון8">
    <pageSetUpPr fitToPage="1"/>
  </sheetPr>
  <dimension ref="A1:R45"/>
  <sheetViews>
    <sheetView rightToLeft="1" topLeftCell="D1" zoomScaleNormal="100" workbookViewId="0">
      <selection activeCell="I4" sqref="I4:K4"/>
    </sheetView>
  </sheetViews>
  <sheetFormatPr defaultColWidth="9.140625" defaultRowHeight="12.75" x14ac:dyDescent="0.2"/>
  <cols>
    <col min="1" max="3" width="3.42578125" style="1" hidden="1" customWidth="1"/>
    <col min="4" max="4" width="2.85546875" style="1" customWidth="1"/>
    <col min="5" max="5" width="12.28515625" style="1" customWidth="1"/>
    <col min="6" max="6" width="9.28515625" style="1" customWidth="1"/>
    <col min="7" max="7" width="7.42578125" style="1" customWidth="1"/>
    <col min="8" max="8" width="11.140625" style="1" customWidth="1"/>
    <col min="9" max="12" width="8.7109375" style="1" customWidth="1"/>
    <col min="13" max="13" width="11.7109375" style="1" customWidth="1"/>
    <col min="14" max="14" width="19.42578125" style="1" customWidth="1"/>
    <col min="15" max="15" width="2.28515625" style="1" hidden="1" customWidth="1"/>
    <col min="16" max="16" width="2.42578125" style="1" hidden="1" customWidth="1"/>
    <col min="17" max="17" width="8.28515625" style="1" hidden="1" customWidth="1"/>
    <col min="18" max="18" width="2.5703125" style="1" hidden="1" customWidth="1"/>
    <col min="19" max="19" width="0" style="1" hidden="1" customWidth="1"/>
    <col min="20" max="16384" width="9.140625" style="1"/>
  </cols>
  <sheetData>
    <row r="1" spans="1:18" ht="15.95" customHeight="1" x14ac:dyDescent="0.2"/>
    <row r="2" spans="1:18" ht="15.95" customHeight="1" x14ac:dyDescent="0.2"/>
    <row r="3" spans="1:18" s="2" customFormat="1" ht="21.95" customHeight="1" x14ac:dyDescent="0.2">
      <c r="E3" s="3" t="s">
        <v>0</v>
      </c>
      <c r="F3" s="4">
        <v>2021</v>
      </c>
      <c r="H3" s="3" t="s">
        <v>1</v>
      </c>
      <c r="I3" s="150"/>
      <c r="J3" s="151"/>
      <c r="K3" s="152"/>
    </row>
    <row r="4" spans="1:18" s="2" customFormat="1" ht="21.95" customHeight="1" x14ac:dyDescent="0.2">
      <c r="E4" s="3" t="s">
        <v>2</v>
      </c>
      <c r="F4" s="4">
        <v>7</v>
      </c>
      <c r="H4" s="3" t="s">
        <v>3</v>
      </c>
      <c r="I4" s="150"/>
      <c r="J4" s="151"/>
      <c r="K4" s="152"/>
    </row>
    <row r="5" spans="1:18" s="2" customFormat="1" ht="21.95" customHeight="1" x14ac:dyDescent="0.2">
      <c r="E5" s="5" t="s">
        <v>4</v>
      </c>
      <c r="F5" s="4"/>
      <c r="H5" s="6"/>
      <c r="I5" s="7"/>
      <c r="J5" s="7"/>
      <c r="K5" s="7"/>
    </row>
    <row r="6" spans="1:18" ht="18" customHeight="1" x14ac:dyDescent="0.2"/>
    <row r="7" spans="1:18" ht="18" customHeight="1" x14ac:dyDescent="0.2">
      <c r="G7" s="153" t="s">
        <v>5</v>
      </c>
      <c r="H7" s="153"/>
      <c r="I7" s="153"/>
      <c r="J7" s="153" t="s">
        <v>6</v>
      </c>
      <c r="K7" s="153"/>
      <c r="L7" s="153"/>
    </row>
    <row r="8" spans="1:18" ht="34.5" x14ac:dyDescent="0.2">
      <c r="E8" s="8" t="s">
        <v>7</v>
      </c>
      <c r="F8" s="8" t="s">
        <v>8</v>
      </c>
      <c r="G8" s="8" t="s">
        <v>9</v>
      </c>
      <c r="H8" s="8" t="s">
        <v>10</v>
      </c>
      <c r="I8" s="8" t="s">
        <v>11</v>
      </c>
      <c r="J8" s="8" t="s">
        <v>9</v>
      </c>
      <c r="K8" s="8" t="s">
        <v>10</v>
      </c>
      <c r="L8" s="8" t="s">
        <v>11</v>
      </c>
      <c r="M8" s="8" t="s">
        <v>12</v>
      </c>
      <c r="N8" s="8" t="s">
        <v>13</v>
      </c>
      <c r="Q8" s="9" t="s">
        <v>8</v>
      </c>
      <c r="R8" s="10"/>
    </row>
    <row r="9" spans="1:18" ht="18" customHeight="1" x14ac:dyDescent="0.2">
      <c r="A9" s="11"/>
      <c r="B9" s="11">
        <v>1</v>
      </c>
      <c r="C9" s="11"/>
      <c r="E9" s="12">
        <f>DATE($F$3,$F$4,B9)</f>
        <v>44378</v>
      </c>
      <c r="F9" s="13" t="str">
        <f>VLOOKUP(MOD(E9,7),$P$9:Q15,2)</f>
        <v>חמישי</v>
      </c>
      <c r="G9" s="14">
        <f ca="1">IFERROR(VLOOKUP(E9,'דוח ביצוע'!B:D,3,0),0)</f>
        <v>0</v>
      </c>
      <c r="H9" s="14">
        <f ca="1">IFERROR(VLOOKUP(E9,'דוח ביצוע'!B:E,4,0),0)</f>
        <v>0</v>
      </c>
      <c r="I9" s="15">
        <f ca="1">IFERROR(24*(H9-G9),"")</f>
        <v>0</v>
      </c>
      <c r="J9" s="14" t="str">
        <f ca="1">IFERROR(VLOOKUP(E9,'דוח ביצוע'!$B$3:$G$36,6,0),"")</f>
        <v/>
      </c>
      <c r="K9" s="14" t="str">
        <f ca="1">IFERROR(VLOOKUP(E9,'דוח ביצוע'!$B$3:$H$36,7,0),"")</f>
        <v/>
      </c>
      <c r="L9" s="15">
        <f ca="1">IFERROR(24*(K9-J9),0)</f>
        <v>0</v>
      </c>
      <c r="M9" s="16"/>
      <c r="N9" s="134" t="s">
        <v>104</v>
      </c>
      <c r="P9" s="1">
        <v>0</v>
      </c>
      <c r="Q9" s="1" t="s">
        <v>14</v>
      </c>
      <c r="R9" s="18" t="s">
        <v>15</v>
      </c>
    </row>
    <row r="10" spans="1:18" ht="18" customHeight="1" x14ac:dyDescent="0.2">
      <c r="A10" s="11"/>
      <c r="B10" s="11">
        <v>2</v>
      </c>
      <c r="C10" s="11"/>
      <c r="E10" s="12">
        <f t="shared" ref="E10:E36" si="0">DATE($F$3,$F$4,B10)</f>
        <v>44379</v>
      </c>
      <c r="F10" s="13" t="str">
        <f>VLOOKUP(MOD(E10,7),$P$9:Q16,2)</f>
        <v>שישי</v>
      </c>
      <c r="G10" s="14"/>
      <c r="H10" s="14"/>
      <c r="I10" s="15">
        <f t="shared" ref="I10:I39" si="1">IFERROR(24*(H10-G10),"")</f>
        <v>0</v>
      </c>
      <c r="J10" s="14" t="str">
        <f ca="1">IFERROR(VLOOKUP(E10,'דוח ביצוע'!$B$3:$G$36,6,0),"")</f>
        <v/>
      </c>
      <c r="K10" s="14" t="str">
        <f ca="1">IFERROR(VLOOKUP(E10,'דוח ביצוע'!$B$3:$H$36,7,0),"")</f>
        <v/>
      </c>
      <c r="L10" s="15">
        <f t="shared" ref="L10:L39" ca="1" si="2">IFERROR(24*(K10-J10),0)</f>
        <v>0</v>
      </c>
      <c r="M10" s="16"/>
      <c r="N10" s="17"/>
      <c r="P10" s="1">
        <v>1</v>
      </c>
      <c r="Q10" s="1" t="s">
        <v>16</v>
      </c>
    </row>
    <row r="11" spans="1:18" ht="18" customHeight="1" x14ac:dyDescent="0.2">
      <c r="A11" s="11"/>
      <c r="B11" s="11">
        <v>3</v>
      </c>
      <c r="C11" s="11"/>
      <c r="E11" s="12">
        <f t="shared" si="0"/>
        <v>44380</v>
      </c>
      <c r="F11" s="13" t="str">
        <f>VLOOKUP(MOD(E11,7),$P$9:Q17,2)</f>
        <v>שבת</v>
      </c>
      <c r="G11" s="14"/>
      <c r="H11" s="14"/>
      <c r="I11" s="15">
        <f t="shared" si="1"/>
        <v>0</v>
      </c>
      <c r="J11" s="14" t="str">
        <f ca="1">IFERROR(VLOOKUP(E11,'דוח ביצוע'!$B$3:$G$36,6,0),"")</f>
        <v/>
      </c>
      <c r="K11" s="14" t="str">
        <f ca="1">IFERROR(VLOOKUP(E11,'דוח ביצוע'!$B$3:$H$36,7,0),"")</f>
        <v/>
      </c>
      <c r="L11" s="15">
        <f t="shared" ca="1" si="2"/>
        <v>0</v>
      </c>
      <c r="M11" s="16"/>
      <c r="N11" s="17"/>
      <c r="P11" s="1">
        <v>2</v>
      </c>
      <c r="Q11" s="1" t="s">
        <v>17</v>
      </c>
    </row>
    <row r="12" spans="1:18" ht="18" customHeight="1" x14ac:dyDescent="0.2">
      <c r="A12" s="11"/>
      <c r="B12" s="11">
        <v>4</v>
      </c>
      <c r="C12" s="11"/>
      <c r="E12" s="12">
        <f t="shared" si="0"/>
        <v>44381</v>
      </c>
      <c r="F12" s="13" t="str">
        <f>VLOOKUP(MOD(E12,7),$P$9:Q18,2)</f>
        <v>ראשון</v>
      </c>
      <c r="G12" s="14">
        <f ca="1">IFERROR(VLOOKUP(E12,'דוח ביצוע'!B:D,3,0),0)</f>
        <v>0</v>
      </c>
      <c r="H12" s="14">
        <f ca="1">IFERROR(VLOOKUP(E12,'דוח ביצוע'!B:E,4,0),0)</f>
        <v>0</v>
      </c>
      <c r="I12" s="15">
        <f t="shared" ca="1" si="1"/>
        <v>0</v>
      </c>
      <c r="J12" s="14" t="str">
        <f ca="1">IFERROR(VLOOKUP(E12,'דוח ביצוע'!$B$3:$G$36,6,0),"")</f>
        <v/>
      </c>
      <c r="K12" s="14" t="str">
        <f ca="1">IFERROR(VLOOKUP(E12,'דוח ביצוע'!$B$3:$H$36,7,0),"")</f>
        <v/>
      </c>
      <c r="L12" s="15">
        <f t="shared" ca="1" si="2"/>
        <v>0</v>
      </c>
      <c r="M12" s="16"/>
      <c r="N12" s="17"/>
      <c r="P12" s="1">
        <v>3</v>
      </c>
      <c r="Q12" s="1" t="s">
        <v>18</v>
      </c>
    </row>
    <row r="13" spans="1:18" ht="18" customHeight="1" x14ac:dyDescent="0.2">
      <c r="A13" s="11"/>
      <c r="B13" s="11">
        <v>5</v>
      </c>
      <c r="C13" s="11"/>
      <c r="E13" s="12">
        <f t="shared" si="0"/>
        <v>44382</v>
      </c>
      <c r="F13" s="13" t="str">
        <f>VLOOKUP(MOD(E13,7),$P$9:Q19,2)</f>
        <v>שני</v>
      </c>
      <c r="G13" s="14">
        <f ca="1">IFERROR(VLOOKUP(E13,'דוח ביצוע'!B:D,3,0),0)</f>
        <v>0</v>
      </c>
      <c r="H13" s="14">
        <f ca="1">IFERROR(VLOOKUP(E13,'דוח ביצוע'!B:E,4,0),0)</f>
        <v>0</v>
      </c>
      <c r="I13" s="15">
        <f t="shared" ca="1" si="1"/>
        <v>0</v>
      </c>
      <c r="J13" s="14" t="str">
        <f ca="1">IFERROR(VLOOKUP(E13,'דוח ביצוע'!$B$3:$G$36,6,0),"")</f>
        <v/>
      </c>
      <c r="K13" s="14" t="str">
        <f ca="1">IFERROR(VLOOKUP(E13,'דוח ביצוע'!$B$3:$H$36,7,0),"")</f>
        <v/>
      </c>
      <c r="L13" s="15">
        <f t="shared" ca="1" si="2"/>
        <v>0</v>
      </c>
      <c r="M13" s="16"/>
      <c r="N13" s="17"/>
      <c r="P13" s="1">
        <v>4</v>
      </c>
      <c r="Q13" s="1" t="s">
        <v>19</v>
      </c>
    </row>
    <row r="14" spans="1:18" ht="18" customHeight="1" x14ac:dyDescent="0.2">
      <c r="A14" s="11"/>
      <c r="B14" s="11">
        <v>6</v>
      </c>
      <c r="C14" s="11"/>
      <c r="E14" s="12">
        <f t="shared" si="0"/>
        <v>44383</v>
      </c>
      <c r="F14" s="13" t="str">
        <f>VLOOKUP(MOD(E14,7),$P$9:Q20,2)</f>
        <v>שלישי</v>
      </c>
      <c r="G14" s="14">
        <f ca="1">IFERROR(VLOOKUP(E14,'דוח ביצוע'!B:D,3,0),0)</f>
        <v>0</v>
      </c>
      <c r="H14" s="14">
        <f ca="1">IFERROR(VLOOKUP(E14,'דוח ביצוע'!B:E,4,0),0)</f>
        <v>0</v>
      </c>
      <c r="I14" s="15">
        <f t="shared" ca="1" si="1"/>
        <v>0</v>
      </c>
      <c r="J14" s="14" t="str">
        <f ca="1">IFERROR(VLOOKUP(E14,'דוח ביצוע'!$B$3:$G$36,6,0),"")</f>
        <v/>
      </c>
      <c r="K14" s="14" t="str">
        <f ca="1">IFERROR(VLOOKUP(E14,'דוח ביצוע'!$B$3:$H$36,7,0),"")</f>
        <v/>
      </c>
      <c r="L14" s="15">
        <f t="shared" ca="1" si="2"/>
        <v>0</v>
      </c>
      <c r="M14" s="16"/>
      <c r="N14" s="17"/>
      <c r="P14" s="1">
        <v>5</v>
      </c>
      <c r="Q14" s="1" t="s">
        <v>20</v>
      </c>
    </row>
    <row r="15" spans="1:18" ht="18" customHeight="1" x14ac:dyDescent="0.2">
      <c r="A15" s="11"/>
      <c r="B15" s="11">
        <v>7</v>
      </c>
      <c r="C15" s="11"/>
      <c r="E15" s="12">
        <f t="shared" si="0"/>
        <v>44384</v>
      </c>
      <c r="F15" s="13" t="str">
        <f>VLOOKUP(MOD(E15,7),$P$9:Q21,2)</f>
        <v>רביעי</v>
      </c>
      <c r="G15" s="14">
        <f ca="1">IFERROR(VLOOKUP(E15,'דוח ביצוע'!B:D,3,0),0)</f>
        <v>0</v>
      </c>
      <c r="H15" s="14">
        <f ca="1">IFERROR(VLOOKUP(E15,'דוח ביצוע'!B:E,4,0),0)</f>
        <v>0</v>
      </c>
      <c r="I15" s="15">
        <f t="shared" ca="1" si="1"/>
        <v>0</v>
      </c>
      <c r="J15" s="14" t="str">
        <f ca="1">IFERROR(VLOOKUP(E15,'דוח ביצוע'!$B$3:$G$36,6,0),"")</f>
        <v/>
      </c>
      <c r="K15" s="14" t="str">
        <f ca="1">IFERROR(VLOOKUP(E15,'דוח ביצוע'!$B$3:$H$36,7,0),"")</f>
        <v/>
      </c>
      <c r="L15" s="15">
        <f t="shared" ca="1" si="2"/>
        <v>0</v>
      </c>
      <c r="M15" s="16"/>
      <c r="N15" s="17"/>
      <c r="P15" s="1">
        <v>6</v>
      </c>
      <c r="Q15" s="1" t="s">
        <v>21</v>
      </c>
    </row>
    <row r="16" spans="1:18" ht="18" customHeight="1" x14ac:dyDescent="0.2">
      <c r="A16" s="11"/>
      <c r="B16" s="11">
        <v>8</v>
      </c>
      <c r="C16" s="11"/>
      <c r="E16" s="12">
        <f t="shared" si="0"/>
        <v>44385</v>
      </c>
      <c r="F16" s="13" t="str">
        <f>VLOOKUP(MOD(E16,7),$P$9:Q22,2)</f>
        <v>חמישי</v>
      </c>
      <c r="G16" s="14">
        <f ca="1">IFERROR(VLOOKUP(E16,'דוח ביצוע'!B:D,3,0),0)</f>
        <v>0</v>
      </c>
      <c r="H16" s="14">
        <f ca="1">IFERROR(VLOOKUP(E16,'דוח ביצוע'!B:E,4,0),0)</f>
        <v>0</v>
      </c>
      <c r="I16" s="15">
        <f t="shared" ca="1" si="1"/>
        <v>0</v>
      </c>
      <c r="J16" s="14" t="str">
        <f ca="1">IFERROR(VLOOKUP(E16,'דוח ביצוע'!$B$3:$G$36,6,0),"")</f>
        <v/>
      </c>
      <c r="K16" s="14" t="str">
        <f ca="1">IFERROR(VLOOKUP(E16,'דוח ביצוע'!$B$3:$H$36,7,0),"")</f>
        <v/>
      </c>
      <c r="L16" s="15">
        <f t="shared" ca="1" si="2"/>
        <v>0</v>
      </c>
      <c r="M16" s="16"/>
      <c r="N16" s="17"/>
    </row>
    <row r="17" spans="1:14" ht="18" customHeight="1" x14ac:dyDescent="0.2">
      <c r="A17" s="11"/>
      <c r="B17" s="11">
        <v>9</v>
      </c>
      <c r="C17" s="11"/>
      <c r="E17" s="12">
        <f t="shared" si="0"/>
        <v>44386</v>
      </c>
      <c r="F17" s="13" t="str">
        <f>VLOOKUP(MOD(E17,7),$P$9:Q23,2)</f>
        <v>שישי</v>
      </c>
      <c r="G17" s="14"/>
      <c r="H17" s="14"/>
      <c r="I17" s="15">
        <f t="shared" si="1"/>
        <v>0</v>
      </c>
      <c r="J17" s="14" t="str">
        <f ca="1">IFERROR(VLOOKUP(E17,'דוח ביצוע'!$B$3:$G$36,6,0),"")</f>
        <v/>
      </c>
      <c r="K17" s="14" t="str">
        <f ca="1">IFERROR(VLOOKUP(E17,'דוח ביצוע'!$B$3:$H$36,7,0),"")</f>
        <v/>
      </c>
      <c r="L17" s="15">
        <f t="shared" ca="1" si="2"/>
        <v>0</v>
      </c>
      <c r="M17" s="16"/>
      <c r="N17" s="17"/>
    </row>
    <row r="18" spans="1:14" ht="18" customHeight="1" x14ac:dyDescent="0.2">
      <c r="A18" s="11"/>
      <c r="B18" s="11">
        <v>10</v>
      </c>
      <c r="C18" s="11"/>
      <c r="E18" s="12">
        <f t="shared" si="0"/>
        <v>44387</v>
      </c>
      <c r="F18" s="13" t="str">
        <f>VLOOKUP(MOD(E18,7),$P$9:Q24,2)</f>
        <v>שבת</v>
      </c>
      <c r="G18" s="14"/>
      <c r="H18" s="14"/>
      <c r="I18" s="15">
        <f t="shared" si="1"/>
        <v>0</v>
      </c>
      <c r="J18" s="14" t="str">
        <f ca="1">IFERROR(VLOOKUP(E18,'דוח ביצוע'!$B$3:$G$36,6,0),"")</f>
        <v/>
      </c>
      <c r="K18" s="14" t="str">
        <f ca="1">IFERROR(VLOOKUP(E18,'דוח ביצוע'!$B$3:$H$36,7,0),"")</f>
        <v/>
      </c>
      <c r="L18" s="15">
        <f t="shared" ca="1" si="2"/>
        <v>0</v>
      </c>
      <c r="M18" s="16"/>
      <c r="N18" s="17"/>
    </row>
    <row r="19" spans="1:14" ht="18" customHeight="1" x14ac:dyDescent="0.2">
      <c r="A19" s="11"/>
      <c r="B19" s="11">
        <v>11</v>
      </c>
      <c r="C19" s="11"/>
      <c r="E19" s="12">
        <f t="shared" si="0"/>
        <v>44388</v>
      </c>
      <c r="F19" s="13" t="str">
        <f>VLOOKUP(MOD(E19,7),$P$9:Q25,2)</f>
        <v>ראשון</v>
      </c>
      <c r="G19" s="14">
        <f ca="1">IFERROR(VLOOKUP(E19,'דוח ביצוע'!B:D,3,0),0)</f>
        <v>0</v>
      </c>
      <c r="H19" s="14">
        <f ca="1">IFERROR(VLOOKUP(E19,'דוח ביצוע'!B:E,4,0),0)</f>
        <v>0</v>
      </c>
      <c r="I19" s="15">
        <f t="shared" ca="1" si="1"/>
        <v>0</v>
      </c>
      <c r="J19" s="14" t="str">
        <f ca="1">IFERROR(VLOOKUP(E19,'דוח ביצוע'!$B$3:$G$36,6,0),"")</f>
        <v/>
      </c>
      <c r="K19" s="14" t="str">
        <f ca="1">IFERROR(VLOOKUP(E19,'דוח ביצוע'!$B$3:$H$36,7,0),"")</f>
        <v/>
      </c>
      <c r="L19" s="15">
        <f t="shared" ca="1" si="2"/>
        <v>0</v>
      </c>
      <c r="M19" s="16"/>
      <c r="N19" s="17"/>
    </row>
    <row r="20" spans="1:14" ht="18" customHeight="1" x14ac:dyDescent="0.2">
      <c r="A20" s="11"/>
      <c r="B20" s="11">
        <v>12</v>
      </c>
      <c r="C20" s="11"/>
      <c r="E20" s="12">
        <f t="shared" si="0"/>
        <v>44389</v>
      </c>
      <c r="F20" s="13" t="str">
        <f>VLOOKUP(MOD(E20,7),$P$9:Q26,2)</f>
        <v>שני</v>
      </c>
      <c r="G20" s="14">
        <f ca="1">IFERROR(VLOOKUP(E20,'דוח ביצוע'!B:D,3,0),0)</f>
        <v>0</v>
      </c>
      <c r="H20" s="14">
        <f ca="1">IFERROR(VLOOKUP(E20,'דוח ביצוע'!B:E,4,0),0)</f>
        <v>0</v>
      </c>
      <c r="I20" s="15">
        <f t="shared" ca="1" si="1"/>
        <v>0</v>
      </c>
      <c r="J20" s="14" t="str">
        <f ca="1">IFERROR(VLOOKUP(E20,'דוח ביצוע'!$B$3:$G$36,6,0),"")</f>
        <v/>
      </c>
      <c r="K20" s="14" t="str">
        <f ca="1">IFERROR(VLOOKUP(E20,'דוח ביצוע'!$B$3:$H$36,7,0),"")</f>
        <v/>
      </c>
      <c r="L20" s="15">
        <f t="shared" ca="1" si="2"/>
        <v>0</v>
      </c>
      <c r="M20" s="16"/>
      <c r="N20" s="17"/>
    </row>
    <row r="21" spans="1:14" ht="18" customHeight="1" x14ac:dyDescent="0.2">
      <c r="A21" s="11"/>
      <c r="B21" s="11">
        <v>13</v>
      </c>
      <c r="C21" s="11"/>
      <c r="E21" s="12">
        <f t="shared" si="0"/>
        <v>44390</v>
      </c>
      <c r="F21" s="13" t="str">
        <f>VLOOKUP(MOD(E21,7),$P$9:Q27,2)</f>
        <v>שלישי</v>
      </c>
      <c r="G21" s="14">
        <f ca="1">IFERROR(VLOOKUP(E21,'דוח ביצוע'!B:D,3,0),0)</f>
        <v>0</v>
      </c>
      <c r="H21" s="14">
        <f ca="1">IFERROR(VLOOKUP(E21,'דוח ביצוע'!B:E,4,0),0)</f>
        <v>0</v>
      </c>
      <c r="I21" s="15">
        <f t="shared" ca="1" si="1"/>
        <v>0</v>
      </c>
      <c r="J21" s="14" t="str">
        <f ca="1">IFERROR(VLOOKUP(E21,'דוח ביצוע'!$B$3:$G$36,6,0),"")</f>
        <v/>
      </c>
      <c r="K21" s="14" t="str">
        <f ca="1">IFERROR(VLOOKUP(E21,'דוח ביצוע'!$B$3:$H$36,7,0),"")</f>
        <v/>
      </c>
      <c r="L21" s="15">
        <f t="shared" ca="1" si="2"/>
        <v>0</v>
      </c>
      <c r="M21" s="16"/>
      <c r="N21" s="17"/>
    </row>
    <row r="22" spans="1:14" ht="18" customHeight="1" x14ac:dyDescent="0.2">
      <c r="A22" s="11"/>
      <c r="B22" s="11">
        <v>14</v>
      </c>
      <c r="C22" s="11"/>
      <c r="E22" s="12">
        <f t="shared" si="0"/>
        <v>44391</v>
      </c>
      <c r="F22" s="13" t="str">
        <f>VLOOKUP(MOD(E22,7),$P$9:Q28,2)</f>
        <v>רביעי</v>
      </c>
      <c r="G22" s="14">
        <f ca="1">IFERROR(VLOOKUP(E22,'דוח ביצוע'!B:D,3,0),0)</f>
        <v>0</v>
      </c>
      <c r="H22" s="14">
        <f ca="1">IFERROR(VLOOKUP(E22,'דוח ביצוע'!B:E,4,0),0)</f>
        <v>0</v>
      </c>
      <c r="I22" s="15">
        <f t="shared" ca="1" si="1"/>
        <v>0</v>
      </c>
      <c r="J22" s="14" t="str">
        <f ca="1">IFERROR(VLOOKUP(E22,'דוח ביצוע'!$B$3:$G$36,6,0),"")</f>
        <v/>
      </c>
      <c r="K22" s="14" t="str">
        <f ca="1">IFERROR(VLOOKUP(E22,'דוח ביצוע'!$B$3:$H$36,7,0),"")</f>
        <v/>
      </c>
      <c r="L22" s="15">
        <f t="shared" ca="1" si="2"/>
        <v>0</v>
      </c>
      <c r="M22" s="16"/>
      <c r="N22" s="17"/>
    </row>
    <row r="23" spans="1:14" ht="18" customHeight="1" x14ac:dyDescent="0.2">
      <c r="A23" s="11"/>
      <c r="B23" s="11">
        <v>15</v>
      </c>
      <c r="C23" s="11"/>
      <c r="E23" s="12">
        <f t="shared" si="0"/>
        <v>44392</v>
      </c>
      <c r="F23" s="13" t="str">
        <f>VLOOKUP(MOD(E23,7),$P$9:Q29,2)</f>
        <v>חמישי</v>
      </c>
      <c r="G23" s="14">
        <f ca="1">IFERROR(VLOOKUP(E23,'דוח ביצוע'!B:D,3,0),0)</f>
        <v>0</v>
      </c>
      <c r="H23" s="14">
        <f ca="1">IFERROR(VLOOKUP(E23,'דוח ביצוע'!B:E,4,0),0)</f>
        <v>0</v>
      </c>
      <c r="I23" s="15">
        <f t="shared" ca="1" si="1"/>
        <v>0</v>
      </c>
      <c r="J23" s="14" t="str">
        <f ca="1">IFERROR(VLOOKUP(E23,'דוח ביצוע'!$B$3:$G$36,6,0),"")</f>
        <v/>
      </c>
      <c r="K23" s="14" t="str">
        <f ca="1">IFERROR(VLOOKUP(E23,'דוח ביצוע'!$B$3:$H$36,7,0),"")</f>
        <v/>
      </c>
      <c r="L23" s="15">
        <f t="shared" ca="1" si="2"/>
        <v>0</v>
      </c>
      <c r="M23" s="16"/>
      <c r="N23" s="17"/>
    </row>
    <row r="24" spans="1:14" ht="18" customHeight="1" x14ac:dyDescent="0.2">
      <c r="A24" s="11"/>
      <c r="B24" s="11">
        <v>16</v>
      </c>
      <c r="C24" s="11"/>
      <c r="E24" s="12">
        <f t="shared" si="0"/>
        <v>44393</v>
      </c>
      <c r="F24" s="13" t="str">
        <f>VLOOKUP(MOD(E24,7),$P$9:Q30,2)</f>
        <v>שישי</v>
      </c>
      <c r="G24" s="14"/>
      <c r="H24" s="14"/>
      <c r="I24" s="15">
        <f t="shared" si="1"/>
        <v>0</v>
      </c>
      <c r="J24" s="14" t="str">
        <f ca="1">IFERROR(VLOOKUP(E24,'דוח ביצוע'!$B$3:$G$36,6,0),"")</f>
        <v/>
      </c>
      <c r="K24" s="14" t="str">
        <f ca="1">IFERROR(VLOOKUP(E24,'דוח ביצוע'!$B$3:$H$36,7,0),"")</f>
        <v/>
      </c>
      <c r="L24" s="15">
        <f t="shared" ca="1" si="2"/>
        <v>0</v>
      </c>
      <c r="M24" s="16"/>
      <c r="N24" s="17"/>
    </row>
    <row r="25" spans="1:14" ht="18" customHeight="1" x14ac:dyDescent="0.2">
      <c r="A25" s="11"/>
      <c r="B25" s="11">
        <v>17</v>
      </c>
      <c r="C25" s="11"/>
      <c r="E25" s="12">
        <f t="shared" si="0"/>
        <v>44394</v>
      </c>
      <c r="F25" s="13" t="str">
        <f>VLOOKUP(MOD(E25,7),$P$9:Q31,2)</f>
        <v>שבת</v>
      </c>
      <c r="G25" s="14"/>
      <c r="H25" s="14"/>
      <c r="I25" s="15">
        <f t="shared" si="1"/>
        <v>0</v>
      </c>
      <c r="J25" s="14" t="str">
        <f ca="1">IFERROR(VLOOKUP(E25,'דוח ביצוע'!$B$3:$G$36,6,0),"")</f>
        <v/>
      </c>
      <c r="K25" s="14" t="str">
        <f ca="1">IFERROR(VLOOKUP(E25,'דוח ביצוע'!$B$3:$H$36,7,0),"")</f>
        <v/>
      </c>
      <c r="L25" s="15">
        <f t="shared" ca="1" si="2"/>
        <v>0</v>
      </c>
      <c r="M25" s="16"/>
      <c r="N25" s="17"/>
    </row>
    <row r="26" spans="1:14" ht="18" customHeight="1" x14ac:dyDescent="0.2">
      <c r="A26" s="11"/>
      <c r="B26" s="11">
        <v>18</v>
      </c>
      <c r="C26" s="11"/>
      <c r="E26" s="12">
        <f t="shared" si="0"/>
        <v>44395</v>
      </c>
      <c r="F26" s="13" t="str">
        <f>VLOOKUP(MOD(E26,7),$P$9:Q32,2)</f>
        <v>ראשון</v>
      </c>
      <c r="G26" s="14">
        <f ca="1">IFERROR(VLOOKUP(E26,'דוח ביצוע'!B:D,3,0),0)</f>
        <v>0</v>
      </c>
      <c r="H26" s="14">
        <f ca="1">IFERROR(VLOOKUP(E26,'דוח ביצוע'!B:E,4,0),0)</f>
        <v>0</v>
      </c>
      <c r="I26" s="15">
        <f t="shared" ca="1" si="1"/>
        <v>0</v>
      </c>
      <c r="J26" s="14" t="str">
        <f ca="1">IFERROR(VLOOKUP(E26,'דוח ביצוע'!$B$3:$G$36,6,0),"")</f>
        <v/>
      </c>
      <c r="K26" s="14" t="str">
        <f ca="1">IFERROR(VLOOKUP(E26,'דוח ביצוע'!$B$3:$H$36,7,0),"")</f>
        <v/>
      </c>
      <c r="L26" s="15">
        <f t="shared" ca="1" si="2"/>
        <v>0</v>
      </c>
      <c r="M26" s="16"/>
      <c r="N26" s="17"/>
    </row>
    <row r="27" spans="1:14" ht="18" customHeight="1" x14ac:dyDescent="0.2">
      <c r="A27" s="11"/>
      <c r="B27" s="11">
        <v>19</v>
      </c>
      <c r="C27" s="11"/>
      <c r="E27" s="12">
        <f t="shared" si="0"/>
        <v>44396</v>
      </c>
      <c r="F27" s="13" t="str">
        <f>VLOOKUP(MOD(E27,7),$P$9:Q33,2)</f>
        <v>שני</v>
      </c>
      <c r="G27" s="14">
        <f ca="1">IFERROR(VLOOKUP(E27,'דוח ביצוע'!B:D,3,0),0)</f>
        <v>0</v>
      </c>
      <c r="H27" s="14">
        <f ca="1">IFERROR(VLOOKUP(E27,'דוח ביצוע'!B:E,4,0),0)</f>
        <v>0</v>
      </c>
      <c r="I27" s="15">
        <f t="shared" ca="1" si="1"/>
        <v>0</v>
      </c>
      <c r="J27" s="14" t="str">
        <f ca="1">IFERROR(VLOOKUP(E27,'דוח ביצוע'!$B$3:$G$36,6,0),"")</f>
        <v/>
      </c>
      <c r="K27" s="14" t="str">
        <f ca="1">IFERROR(VLOOKUP(E27,'דוח ביצוע'!$B$3:$H$36,7,0),"")</f>
        <v/>
      </c>
      <c r="L27" s="15">
        <f t="shared" ca="1" si="2"/>
        <v>0</v>
      </c>
      <c r="M27" s="16"/>
      <c r="N27" s="134"/>
    </row>
    <row r="28" spans="1:14" ht="18" customHeight="1" x14ac:dyDescent="0.2">
      <c r="A28" s="11"/>
      <c r="B28" s="11">
        <v>20</v>
      </c>
      <c r="C28" s="11"/>
      <c r="E28" s="12">
        <f t="shared" si="0"/>
        <v>44397</v>
      </c>
      <c r="F28" s="13" t="str">
        <f>VLOOKUP(MOD(E28,7),$P$9:Q34,2)</f>
        <v>שלישי</v>
      </c>
      <c r="G28" s="14">
        <f ca="1">IFERROR(VLOOKUP(E28,'דוח ביצוע'!B:D,3,0),0)</f>
        <v>0</v>
      </c>
      <c r="H28" s="14">
        <f ca="1">IFERROR(VLOOKUP(E28,'דוח ביצוע'!B:E,4,0),0)</f>
        <v>0</v>
      </c>
      <c r="I28" s="15">
        <f t="shared" ca="1" si="1"/>
        <v>0</v>
      </c>
      <c r="J28" s="14" t="str">
        <f ca="1">IFERROR(VLOOKUP(E28,'דוח ביצוע'!$B$3:$G$36,6,0),"")</f>
        <v/>
      </c>
      <c r="K28" s="14" t="str">
        <f ca="1">IFERROR(VLOOKUP(E28,'דוח ביצוע'!$B$3:$H$36,7,0),"")</f>
        <v/>
      </c>
      <c r="L28" s="15">
        <f t="shared" ca="1" si="2"/>
        <v>0</v>
      </c>
      <c r="M28" s="16"/>
      <c r="N28" s="134"/>
    </row>
    <row r="29" spans="1:14" ht="18" customHeight="1" x14ac:dyDescent="0.2">
      <c r="A29" s="11"/>
      <c r="B29" s="11">
        <v>21</v>
      </c>
      <c r="C29" s="11"/>
      <c r="E29" s="12">
        <f t="shared" si="0"/>
        <v>44398</v>
      </c>
      <c r="F29" s="13" t="str">
        <f>VLOOKUP(MOD(E29,7),$P$9:Q35,2)</f>
        <v>רביעי</v>
      </c>
      <c r="G29" s="14">
        <f ca="1">IFERROR(VLOOKUP(E29,'דוח ביצוע'!B:D,3,0),0)</f>
        <v>0</v>
      </c>
      <c r="H29" s="14">
        <f ca="1">IFERROR(VLOOKUP(E29,'דוח ביצוע'!B:E,4,0),0)</f>
        <v>0</v>
      </c>
      <c r="I29" s="15">
        <f t="shared" ca="1" si="1"/>
        <v>0</v>
      </c>
      <c r="J29" s="14" t="str">
        <f ca="1">IFERROR(VLOOKUP(E29,'דוח ביצוע'!$B$3:$G$36,6,0),"")</f>
        <v/>
      </c>
      <c r="K29" s="14" t="str">
        <f ca="1">IFERROR(VLOOKUP(E29,'דוח ביצוע'!$B$3:$H$36,7,0),"")</f>
        <v/>
      </c>
      <c r="L29" s="15">
        <f t="shared" ca="1" si="2"/>
        <v>0</v>
      </c>
      <c r="M29" s="16"/>
      <c r="N29" s="17"/>
    </row>
    <row r="30" spans="1:14" ht="18" customHeight="1" x14ac:dyDescent="0.2">
      <c r="A30" s="11"/>
      <c r="B30" s="11">
        <v>22</v>
      </c>
      <c r="C30" s="11"/>
      <c r="E30" s="12">
        <f t="shared" si="0"/>
        <v>44399</v>
      </c>
      <c r="F30" s="13" t="str">
        <f>VLOOKUP(MOD(E30,7),$P$9:Q36,2)</f>
        <v>חמישי</v>
      </c>
      <c r="G30" s="14">
        <f ca="1">IFERROR(VLOOKUP(E30,'דוח ביצוע'!B:D,3,0),0)</f>
        <v>0</v>
      </c>
      <c r="H30" s="14">
        <f ca="1">IFERROR(VLOOKUP(E30,'דוח ביצוע'!B:E,4,0),0)</f>
        <v>0</v>
      </c>
      <c r="I30" s="15">
        <f t="shared" ca="1" si="1"/>
        <v>0</v>
      </c>
      <c r="J30" s="14" t="str">
        <f ca="1">IFERROR(VLOOKUP(E30,'דוח ביצוע'!$B$3:$G$36,6,0),"")</f>
        <v/>
      </c>
      <c r="K30" s="14" t="str">
        <f ca="1">IFERROR(VLOOKUP(E30,'דוח ביצוע'!$B$3:$H$36,7,0),"")</f>
        <v/>
      </c>
      <c r="L30" s="15">
        <f t="shared" ca="1" si="2"/>
        <v>0</v>
      </c>
      <c r="M30" s="16"/>
      <c r="N30" s="17"/>
    </row>
    <row r="31" spans="1:14" ht="18" customHeight="1" x14ac:dyDescent="0.2">
      <c r="A31" s="11"/>
      <c r="B31" s="11">
        <v>23</v>
      </c>
      <c r="C31" s="11"/>
      <c r="E31" s="12">
        <f t="shared" si="0"/>
        <v>44400</v>
      </c>
      <c r="F31" s="13" t="str">
        <f>VLOOKUP(MOD(E31,7),$P$9:Q37,2)</f>
        <v>שישי</v>
      </c>
      <c r="G31" s="14"/>
      <c r="H31" s="14"/>
      <c r="I31" s="15">
        <f t="shared" si="1"/>
        <v>0</v>
      </c>
      <c r="J31" s="14" t="str">
        <f ca="1">IFERROR(VLOOKUP(E31,'דוח ביצוע'!$B$3:$G$36,6,0),"")</f>
        <v/>
      </c>
      <c r="K31" s="14" t="str">
        <f ca="1">IFERROR(VLOOKUP(E31,'דוח ביצוע'!$B$3:$H$36,7,0),"")</f>
        <v/>
      </c>
      <c r="L31" s="15">
        <f t="shared" ca="1" si="2"/>
        <v>0</v>
      </c>
      <c r="M31" s="16"/>
      <c r="N31" s="17"/>
    </row>
    <row r="32" spans="1:14" ht="18" customHeight="1" x14ac:dyDescent="0.2">
      <c r="A32" s="11"/>
      <c r="B32" s="11">
        <v>24</v>
      </c>
      <c r="C32" s="11"/>
      <c r="E32" s="12">
        <f t="shared" si="0"/>
        <v>44401</v>
      </c>
      <c r="F32" s="13" t="str">
        <f>VLOOKUP(MOD(E32,7),$P$9:Q38,2)</f>
        <v>שבת</v>
      </c>
      <c r="G32" s="14"/>
      <c r="H32" s="14"/>
      <c r="I32" s="15">
        <f t="shared" si="1"/>
        <v>0</v>
      </c>
      <c r="J32" s="14" t="str">
        <f ca="1">IFERROR(VLOOKUP(E32,'דוח ביצוע'!$B$3:$G$36,6,0),"")</f>
        <v/>
      </c>
      <c r="K32" s="14" t="str">
        <f ca="1">IFERROR(VLOOKUP(E32,'דוח ביצוע'!$B$3:$H$36,7,0),"")</f>
        <v/>
      </c>
      <c r="L32" s="15">
        <f t="shared" ca="1" si="2"/>
        <v>0</v>
      </c>
      <c r="M32" s="16"/>
      <c r="N32" s="17"/>
    </row>
    <row r="33" spans="1:17" ht="18" customHeight="1" x14ac:dyDescent="0.2">
      <c r="A33" s="11"/>
      <c r="B33" s="11">
        <v>25</v>
      </c>
      <c r="C33" s="11"/>
      <c r="E33" s="12">
        <f t="shared" si="0"/>
        <v>44402</v>
      </c>
      <c r="F33" s="13" t="str">
        <f>VLOOKUP(MOD(E33,7),$P$9:Q39,2)</f>
        <v>ראשון</v>
      </c>
      <c r="G33" s="14">
        <f ca="1">IFERROR(VLOOKUP(E33,'דוח ביצוע'!B:D,3,0),0)</f>
        <v>0</v>
      </c>
      <c r="H33" s="14">
        <f ca="1">IFERROR(VLOOKUP(E33,'דוח ביצוע'!B:E,4,0),0)</f>
        <v>0</v>
      </c>
      <c r="I33" s="15">
        <f t="shared" ca="1" si="1"/>
        <v>0</v>
      </c>
      <c r="J33" s="14" t="str">
        <f ca="1">IFERROR(VLOOKUP(E33,'דוח ביצוע'!$B$3:$G$36,6,0),"")</f>
        <v/>
      </c>
      <c r="K33" s="14" t="str">
        <f ca="1">IFERROR(VLOOKUP(E33,'דוח ביצוע'!$B$3:$H$36,7,0),"")</f>
        <v/>
      </c>
      <c r="L33" s="15">
        <f t="shared" ca="1" si="2"/>
        <v>0</v>
      </c>
      <c r="M33" s="16"/>
      <c r="N33" s="17"/>
    </row>
    <row r="34" spans="1:17" ht="18" customHeight="1" x14ac:dyDescent="0.2">
      <c r="A34" s="11"/>
      <c r="B34" s="11">
        <v>26</v>
      </c>
      <c r="C34" s="11"/>
      <c r="E34" s="12">
        <f t="shared" si="0"/>
        <v>44403</v>
      </c>
      <c r="F34" s="13" t="str">
        <f>VLOOKUP(MOD(E34,7),$P$9:Q42,2)</f>
        <v>שני</v>
      </c>
      <c r="G34" s="14">
        <f ca="1">IFERROR(VLOOKUP(E34,'דוח ביצוע'!B:D,3,0),0)</f>
        <v>0</v>
      </c>
      <c r="H34" s="14">
        <f ca="1">IFERROR(VLOOKUP(E34,'דוח ביצוע'!B:E,4,0),0)</f>
        <v>0</v>
      </c>
      <c r="I34" s="15">
        <f t="shared" ca="1" si="1"/>
        <v>0</v>
      </c>
      <c r="J34" s="14" t="str">
        <f ca="1">IFERROR(VLOOKUP(E34,'דוח ביצוע'!$B$3:$G$36,6,0),"")</f>
        <v/>
      </c>
      <c r="K34" s="14" t="str">
        <f ca="1">IFERROR(VLOOKUP(E34,'דוח ביצוע'!$B$3:$H$36,7,0),"")</f>
        <v/>
      </c>
      <c r="L34" s="15">
        <f t="shared" ca="1" si="2"/>
        <v>0</v>
      </c>
      <c r="M34" s="16"/>
      <c r="N34" s="17"/>
    </row>
    <row r="35" spans="1:17" ht="18" customHeight="1" x14ac:dyDescent="0.2">
      <c r="A35" s="11"/>
      <c r="B35" s="11">
        <v>27</v>
      </c>
      <c r="C35" s="11"/>
      <c r="E35" s="12">
        <f t="shared" si="0"/>
        <v>44404</v>
      </c>
      <c r="F35" s="13" t="str">
        <f>VLOOKUP(MOD(E35,7),$P$9:Q42,2)</f>
        <v>שלישי</v>
      </c>
      <c r="G35" s="14">
        <f ca="1">IFERROR(VLOOKUP(E35,'דוח ביצוע'!B:D,3,0),0)</f>
        <v>0</v>
      </c>
      <c r="H35" s="14">
        <f ca="1">IFERROR(VLOOKUP(E35,'דוח ביצוע'!B:E,4,0),0)</f>
        <v>0</v>
      </c>
      <c r="I35" s="15">
        <f t="shared" ca="1" si="1"/>
        <v>0</v>
      </c>
      <c r="J35" s="14" t="str">
        <f ca="1">IFERROR(VLOOKUP(E35,'דוח ביצוע'!$B$3:$G$36,6,0),"")</f>
        <v/>
      </c>
      <c r="K35" s="14" t="str">
        <f ca="1">IFERROR(VLOOKUP(E35,'דוח ביצוע'!$B$3:$H$36,7,0),"")</f>
        <v/>
      </c>
      <c r="L35" s="15">
        <f t="shared" ca="1" si="2"/>
        <v>0</v>
      </c>
      <c r="M35" s="16"/>
      <c r="N35" s="17"/>
    </row>
    <row r="36" spans="1:17" ht="18" customHeight="1" x14ac:dyDescent="0.2">
      <c r="A36" s="11"/>
      <c r="B36" s="11">
        <v>28</v>
      </c>
      <c r="C36" s="11"/>
      <c r="E36" s="12">
        <f t="shared" si="0"/>
        <v>44405</v>
      </c>
      <c r="F36" s="13" t="str">
        <f>VLOOKUP(MOD(E36,7),$P$9:Q42,2)</f>
        <v>רביעי</v>
      </c>
      <c r="G36" s="14">
        <f ca="1">IFERROR(VLOOKUP(E36,'דוח ביצוע'!B:D,3,0),0)</f>
        <v>0</v>
      </c>
      <c r="H36" s="14">
        <f ca="1">IFERROR(VLOOKUP(E36,'דוח ביצוע'!B:E,4,0),0)</f>
        <v>0</v>
      </c>
      <c r="I36" s="15">
        <f t="shared" ca="1" si="1"/>
        <v>0</v>
      </c>
      <c r="J36" s="14" t="str">
        <f ca="1">IFERROR(VLOOKUP(E36,'דוח ביצוע'!$B$3:$G$36,6,0),"")</f>
        <v/>
      </c>
      <c r="K36" s="14" t="str">
        <f ca="1">IFERROR(VLOOKUP(E36,'דוח ביצוע'!$B$3:$H$36,7,0),"")</f>
        <v/>
      </c>
      <c r="L36" s="15">
        <f t="shared" ca="1" si="2"/>
        <v>0</v>
      </c>
      <c r="M36" s="16"/>
      <c r="N36" s="17"/>
      <c r="P36" s="19"/>
    </row>
    <row r="37" spans="1:17" ht="18" customHeight="1" x14ac:dyDescent="0.2">
      <c r="A37" s="12">
        <f>DATE($F$3,$F$4,B37)</f>
        <v>44406</v>
      </c>
      <c r="B37" s="11">
        <v>29</v>
      </c>
      <c r="C37" s="11" t="b">
        <f>+MONTH(E36)=MONTH(A37)</f>
        <v>1</v>
      </c>
      <c r="E37" s="12">
        <f>IF(C37=TRUE,DATE($F$3,$F$4,B37),0)</f>
        <v>44406</v>
      </c>
      <c r="F37" s="13" t="str">
        <f>IF(C37=TRUE,VLOOKUP(MOD(E37,7),$P$9:Q42,2),0)</f>
        <v>חמישי</v>
      </c>
      <c r="G37" s="14">
        <f ca="1">IFERROR(VLOOKUP(E37,'דוח ביצוע'!B:D,3,0),0)</f>
        <v>0</v>
      </c>
      <c r="H37" s="14">
        <f ca="1">IFERROR(VLOOKUP(E37,'דוח ביצוע'!B:E,4,0),0)</f>
        <v>0</v>
      </c>
      <c r="I37" s="15">
        <f t="shared" ca="1" si="1"/>
        <v>0</v>
      </c>
      <c r="J37" s="14" t="str">
        <f ca="1">IFERROR(VLOOKUP(E37,'דוח ביצוע'!$B$3:$G$36,6,0),"")</f>
        <v/>
      </c>
      <c r="K37" s="14" t="str">
        <f ca="1">IFERROR(VLOOKUP(E37,'דוח ביצוע'!$B$3:$H$36,7,0),"")</f>
        <v/>
      </c>
      <c r="L37" s="15">
        <f t="shared" ca="1" si="2"/>
        <v>0</v>
      </c>
      <c r="M37" s="16"/>
      <c r="N37" s="17"/>
      <c r="P37" s="19"/>
      <c r="Q37" s="20"/>
    </row>
    <row r="38" spans="1:17" ht="18" customHeight="1" x14ac:dyDescent="0.2">
      <c r="A38" s="12">
        <f>DATE($F$3,$F$4,B38)</f>
        <v>44407</v>
      </c>
      <c r="B38" s="11">
        <v>30</v>
      </c>
      <c r="C38" s="11" t="b">
        <f>+MONTH(E36)=MONTH(A38)</f>
        <v>1</v>
      </c>
      <c r="E38" s="12">
        <f>IF(C38=TRUE,DATE($F$3,$F$4,B38),0)</f>
        <v>44407</v>
      </c>
      <c r="F38" s="13" t="str">
        <f>IF(C38=TRUE,VLOOKUP(MOD(E38,7),$P$9:Q43,2),0)</f>
        <v>שישי</v>
      </c>
      <c r="G38" s="14"/>
      <c r="H38" s="14"/>
      <c r="I38" s="15">
        <f t="shared" si="1"/>
        <v>0</v>
      </c>
      <c r="J38" s="14" t="str">
        <f ca="1">IFERROR(VLOOKUP(E38,'דוח ביצוע'!$B$3:$G$36,6,0),"")</f>
        <v/>
      </c>
      <c r="K38" s="14" t="str">
        <f ca="1">IFERROR(VLOOKUP(E38,'דוח ביצוע'!$B$3:$H$36,7,0),"")</f>
        <v/>
      </c>
      <c r="L38" s="15">
        <f t="shared" ca="1" si="2"/>
        <v>0</v>
      </c>
      <c r="M38" s="16"/>
      <c r="N38" s="17"/>
      <c r="P38" s="19"/>
    </row>
    <row r="39" spans="1:17" ht="18" customHeight="1" x14ac:dyDescent="0.2">
      <c r="A39" s="12">
        <f>DATE($F$3,$F$4,B39)</f>
        <v>44408</v>
      </c>
      <c r="B39" s="11">
        <v>31</v>
      </c>
      <c r="C39" s="11" t="b">
        <f>+MONTH(E36)=MONTH(A39)</f>
        <v>1</v>
      </c>
      <c r="E39" s="12">
        <f>IF(C39=TRUE,DATE($F$3,$F$4,B39),0)</f>
        <v>44408</v>
      </c>
      <c r="F39" s="13" t="str">
        <f>IF(C39=TRUE,VLOOKUP(MOD(E39,7),$P$9:Q44,2),0)</f>
        <v>שבת</v>
      </c>
      <c r="G39" s="14"/>
      <c r="H39" s="14"/>
      <c r="I39" s="15">
        <f t="shared" si="1"/>
        <v>0</v>
      </c>
      <c r="J39" s="14" t="str">
        <f ca="1">IFERROR(VLOOKUP(E39,'דוח ביצוע'!$B$3:$G$36,6,0),"")</f>
        <v/>
      </c>
      <c r="K39" s="14" t="str">
        <f ca="1">IFERROR(VLOOKUP(E39,'דוח ביצוע'!$B$3:$H$36,7,0),"")</f>
        <v/>
      </c>
      <c r="L39" s="15">
        <f t="shared" ca="1" si="2"/>
        <v>0</v>
      </c>
      <c r="M39" s="16"/>
      <c r="N39" s="17"/>
      <c r="P39" s="19"/>
    </row>
    <row r="40" spans="1:17" ht="18" customHeight="1" x14ac:dyDescent="0.2">
      <c r="E40" s="21"/>
      <c r="F40" s="22"/>
      <c r="G40" s="23"/>
      <c r="H40" s="23"/>
      <c r="I40" s="24"/>
      <c r="J40" s="23"/>
      <c r="K40" s="23"/>
      <c r="L40" s="24"/>
      <c r="M40" s="25"/>
      <c r="N40" s="10"/>
    </row>
    <row r="41" spans="1:17" ht="18" customHeight="1" x14ac:dyDescent="0.2">
      <c r="F41" s="22"/>
      <c r="G41" s="23"/>
      <c r="H41" s="23"/>
      <c r="I41" s="24"/>
      <c r="J41" s="23"/>
      <c r="K41" s="23"/>
      <c r="L41" s="24"/>
      <c r="M41" s="25"/>
      <c r="N41" s="10"/>
    </row>
    <row r="42" spans="1:17" s="2" customFormat="1" ht="24.95" customHeight="1" x14ac:dyDescent="0.2">
      <c r="G42" s="146" t="s">
        <v>22</v>
      </c>
      <c r="H42" s="147"/>
      <c r="I42" s="26">
        <f ca="1">SUM(I9:I39)</f>
        <v>0</v>
      </c>
      <c r="L42" s="148" t="s">
        <v>23</v>
      </c>
      <c r="M42" s="149"/>
      <c r="N42" s="27"/>
      <c r="O42" s="28"/>
    </row>
    <row r="43" spans="1:17" s="2" customFormat="1" ht="24.95" customHeight="1" x14ac:dyDescent="0.15">
      <c r="G43" s="146" t="s">
        <v>24</v>
      </c>
      <c r="H43" s="147"/>
      <c r="I43" s="26">
        <f ca="1">SUM(L9:L39)</f>
        <v>0</v>
      </c>
      <c r="L43" s="148" t="s">
        <v>25</v>
      </c>
      <c r="M43" s="149"/>
      <c r="N43" s="17"/>
      <c r="O43" s="28"/>
    </row>
    <row r="44" spans="1:17" s="2" customFormat="1" ht="24.95" customHeight="1" x14ac:dyDescent="0.15">
      <c r="G44" s="146" t="s">
        <v>26</v>
      </c>
      <c r="H44" s="147"/>
      <c r="I44" s="29">
        <f>COUNTA(M9:M39)</f>
        <v>0</v>
      </c>
      <c r="L44" s="148" t="s">
        <v>27</v>
      </c>
      <c r="M44" s="149"/>
      <c r="N44" s="17"/>
      <c r="O44" s="28"/>
    </row>
    <row r="45" spans="1:17" ht="18" customHeight="1" x14ac:dyDescent="0.2"/>
  </sheetData>
  <mergeCells count="10">
    <mergeCell ref="G43:H43"/>
    <mergeCell ref="L43:M43"/>
    <mergeCell ref="G44:H44"/>
    <mergeCell ref="L44:M44"/>
    <mergeCell ref="I3:K3"/>
    <mergeCell ref="I4:K4"/>
    <mergeCell ref="G7:I7"/>
    <mergeCell ref="J7:L7"/>
    <mergeCell ref="G42:H42"/>
    <mergeCell ref="L42:M42"/>
  </mergeCells>
  <dataValidations count="5">
    <dataValidation type="list" allowBlank="1" showInputMessage="1" showErrorMessage="1" sqref="M9:M41" xr:uid="{00000000-0002-0000-0900-000000000000}">
      <formula1>$R$9:$R$10</formula1>
    </dataValidation>
    <dataValidation type="time" allowBlank="1" showInputMessage="1" showErrorMessage="1" sqref="J40:K41 G9:H41" xr:uid="{00000000-0002-0000-0900-000001000000}">
      <formula1>0</formula1>
      <formula2>0.999305555555556</formula2>
    </dataValidation>
    <dataValidation type="whole" allowBlank="1" showInputMessage="1" showErrorMessage="1" sqref="F3" xr:uid="{00000000-0002-0000-0900-000002000000}">
      <formula1>2002</formula1>
      <formula2>2100</formula2>
    </dataValidation>
    <dataValidation type="whole" allowBlank="1" showInputMessage="1" showErrorMessage="1" sqref="F4" xr:uid="{00000000-0002-0000-0900-000003000000}">
      <formula1>1</formula1>
      <formula2>12</formula2>
    </dataValidation>
    <dataValidation type="whole" allowBlank="1" showInputMessage="1" showErrorMessage="1" sqref="F5" xr:uid="{00000000-0002-0000-0900-000004000000}">
      <formula1>150</formula1>
      <formula2>216</formula2>
    </dataValidation>
  </dataValidations>
  <pageMargins left="0.7" right="0.7" top="0.75" bottom="0.75" header="0.3" footer="0.3"/>
  <pageSetup paperSize="9" scale="82" orientation="portrait" r:id="rId1"/>
  <ignoredErrors>
    <ignoredError sqref="H9 H13:H16 H20:H23 H27:H30 H34:H37 H12 H19 H26 H33" unlockedFormula="1"/>
  </ignoredError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גיליון9">
    <pageSetUpPr fitToPage="1"/>
  </sheetPr>
  <dimension ref="A1:R45"/>
  <sheetViews>
    <sheetView rightToLeft="1" topLeftCell="D1" zoomScaleNormal="100" workbookViewId="0">
      <selection activeCell="I4" sqref="I4:K4"/>
    </sheetView>
  </sheetViews>
  <sheetFormatPr defaultColWidth="9.140625" defaultRowHeight="12.75" x14ac:dyDescent="0.2"/>
  <cols>
    <col min="1" max="3" width="3.42578125" style="1" hidden="1" customWidth="1"/>
    <col min="4" max="4" width="2.85546875" style="1" customWidth="1"/>
    <col min="5" max="5" width="12.28515625" style="1" customWidth="1"/>
    <col min="6" max="6" width="9.28515625" style="1" customWidth="1"/>
    <col min="7" max="7" width="7.42578125" style="1" customWidth="1"/>
    <col min="8" max="8" width="11.140625" style="1" customWidth="1"/>
    <col min="9" max="12" width="8.7109375" style="1" customWidth="1"/>
    <col min="13" max="13" width="11.7109375" style="1" customWidth="1"/>
    <col min="14" max="14" width="19.42578125" style="1" customWidth="1"/>
    <col min="15" max="15" width="2.28515625" style="1" hidden="1" customWidth="1"/>
    <col min="16" max="16" width="2.42578125" style="1" hidden="1" customWidth="1"/>
    <col min="17" max="17" width="8.28515625" style="1" hidden="1" customWidth="1"/>
    <col min="18" max="18" width="2.5703125" style="1" hidden="1" customWidth="1"/>
    <col min="19" max="19" width="0" style="1" hidden="1" customWidth="1"/>
    <col min="20" max="16384" width="9.140625" style="1"/>
  </cols>
  <sheetData>
    <row r="1" spans="1:18" ht="15.95" customHeight="1" x14ac:dyDescent="0.2"/>
    <row r="2" spans="1:18" ht="15.95" customHeight="1" x14ac:dyDescent="0.2"/>
    <row r="3" spans="1:18" s="2" customFormat="1" ht="21.95" customHeight="1" x14ac:dyDescent="0.2">
      <c r="E3" s="3" t="s">
        <v>0</v>
      </c>
      <c r="F3" s="4">
        <v>2021</v>
      </c>
      <c r="H3" s="3" t="s">
        <v>1</v>
      </c>
      <c r="I3" s="150"/>
      <c r="J3" s="151"/>
      <c r="K3" s="152"/>
    </row>
    <row r="4" spans="1:18" s="2" customFormat="1" ht="21.95" customHeight="1" x14ac:dyDescent="0.2">
      <c r="E4" s="3" t="s">
        <v>2</v>
      </c>
      <c r="F4" s="4">
        <v>8</v>
      </c>
      <c r="H4" s="3" t="s">
        <v>3</v>
      </c>
      <c r="I4" s="150"/>
      <c r="J4" s="151"/>
      <c r="K4" s="152"/>
    </row>
    <row r="5" spans="1:18" s="2" customFormat="1" ht="21.95" customHeight="1" x14ac:dyDescent="0.2">
      <c r="E5" s="5" t="s">
        <v>4</v>
      </c>
      <c r="F5" s="4"/>
      <c r="H5" s="6"/>
      <c r="I5" s="7"/>
      <c r="J5" s="7"/>
      <c r="K5" s="7"/>
    </row>
    <row r="6" spans="1:18" ht="18" customHeight="1" x14ac:dyDescent="0.2"/>
    <row r="7" spans="1:18" ht="18" customHeight="1" x14ac:dyDescent="0.2">
      <c r="G7" s="153" t="s">
        <v>5</v>
      </c>
      <c r="H7" s="153"/>
      <c r="I7" s="153"/>
      <c r="J7" s="153" t="s">
        <v>6</v>
      </c>
      <c r="K7" s="153"/>
      <c r="L7" s="153"/>
    </row>
    <row r="8" spans="1:18" ht="34.5" x14ac:dyDescent="0.2">
      <c r="E8" s="8" t="s">
        <v>7</v>
      </c>
      <c r="F8" s="8" t="s">
        <v>8</v>
      </c>
      <c r="G8" s="8" t="s">
        <v>9</v>
      </c>
      <c r="H8" s="8" t="s">
        <v>10</v>
      </c>
      <c r="I8" s="8" t="s">
        <v>11</v>
      </c>
      <c r="J8" s="8" t="s">
        <v>9</v>
      </c>
      <c r="K8" s="8" t="s">
        <v>10</v>
      </c>
      <c r="L8" s="8" t="s">
        <v>11</v>
      </c>
      <c r="M8" s="8" t="s">
        <v>12</v>
      </c>
      <c r="N8" s="8" t="s">
        <v>13</v>
      </c>
      <c r="Q8" s="9" t="s">
        <v>8</v>
      </c>
      <c r="R8" s="10"/>
    </row>
    <row r="9" spans="1:18" ht="18" customHeight="1" x14ac:dyDescent="0.2">
      <c r="A9" s="11"/>
      <c r="B9" s="11">
        <v>1</v>
      </c>
      <c r="C9" s="11"/>
      <c r="E9" s="12">
        <f>DATE($F$3,$F$4,B9)</f>
        <v>44409</v>
      </c>
      <c r="F9" s="13" t="str">
        <f>VLOOKUP(MOD(E9,7),$P$9:Q15,2)</f>
        <v>ראשון</v>
      </c>
      <c r="G9" s="14">
        <f ca="1">IFERROR(VLOOKUP(E9,'דוח ביצוע'!B:D,3,0),0)</f>
        <v>0</v>
      </c>
      <c r="H9" s="14">
        <f ca="1">IFERROR(VLOOKUP(E9,'דוח ביצוע'!B:E,4,0),0)</f>
        <v>0</v>
      </c>
      <c r="I9" s="15">
        <f ca="1">IFERROR(24*(H9-G9),"")</f>
        <v>0</v>
      </c>
      <c r="J9" s="14" t="str">
        <f ca="1">IFERROR(VLOOKUP(E9,'דוח ביצוע'!$B$3:$G$36,6,0),"")</f>
        <v/>
      </c>
      <c r="K9" s="14" t="str">
        <f ca="1">IFERROR(VLOOKUP(E9,'דוח ביצוע'!$B$3:$H$36,7,0),"")</f>
        <v/>
      </c>
      <c r="L9" s="15">
        <f ca="1">IFERROR(24*(K9-J9),0)</f>
        <v>0</v>
      </c>
      <c r="M9" s="16"/>
      <c r="N9" s="17"/>
      <c r="P9" s="1">
        <v>0</v>
      </c>
      <c r="Q9" s="1" t="s">
        <v>14</v>
      </c>
      <c r="R9" s="18" t="s">
        <v>15</v>
      </c>
    </row>
    <row r="10" spans="1:18" ht="18" customHeight="1" x14ac:dyDescent="0.2">
      <c r="A10" s="11"/>
      <c r="B10" s="11">
        <v>2</v>
      </c>
      <c r="C10" s="11"/>
      <c r="E10" s="12">
        <f t="shared" ref="E10:E36" si="0">DATE($F$3,$F$4,B10)</f>
        <v>44410</v>
      </c>
      <c r="F10" s="13" t="str">
        <f>VLOOKUP(MOD(E10,7),$P$9:Q16,2)</f>
        <v>שני</v>
      </c>
      <c r="G10" s="14">
        <f ca="1">IFERROR(VLOOKUP(E10,'דוח ביצוע'!B:D,3,0),0)</f>
        <v>0</v>
      </c>
      <c r="H10" s="14">
        <f ca="1">IFERROR(VLOOKUP(E10,'דוח ביצוע'!B:E,4,0),0)</f>
        <v>0</v>
      </c>
      <c r="I10" s="15">
        <f t="shared" ref="I10:I39" ca="1" si="1">IFERROR(24*(H10-G10),"")</f>
        <v>0</v>
      </c>
      <c r="J10" s="14" t="str">
        <f ca="1">IFERROR(VLOOKUP(E10,'דוח ביצוע'!$B$3:$G$36,6,0),"")</f>
        <v/>
      </c>
      <c r="K10" s="14" t="str">
        <f ca="1">IFERROR(VLOOKUP(E10,'דוח ביצוע'!$B$3:$H$36,7,0),"")</f>
        <v/>
      </c>
      <c r="L10" s="15">
        <f t="shared" ref="L10:L39" ca="1" si="2">IFERROR(24*(K10-J10),0)</f>
        <v>0</v>
      </c>
      <c r="M10" s="16"/>
      <c r="N10" s="17"/>
      <c r="P10" s="1">
        <v>1</v>
      </c>
      <c r="Q10" s="1" t="s">
        <v>16</v>
      </c>
    </row>
    <row r="11" spans="1:18" ht="18" customHeight="1" x14ac:dyDescent="0.2">
      <c r="A11" s="11"/>
      <c r="B11" s="11">
        <v>3</v>
      </c>
      <c r="C11" s="11"/>
      <c r="E11" s="12">
        <f t="shared" si="0"/>
        <v>44411</v>
      </c>
      <c r="F11" s="13" t="str">
        <f>VLOOKUP(MOD(E11,7),$P$9:Q17,2)</f>
        <v>שלישי</v>
      </c>
      <c r="G11" s="14">
        <f ca="1">IFERROR(VLOOKUP(E11,'דוח ביצוע'!B:D,3,0),0)</f>
        <v>0</v>
      </c>
      <c r="H11" s="14">
        <f ca="1">IFERROR(VLOOKUP(E11,'דוח ביצוע'!B:E,4,0),0)</f>
        <v>0</v>
      </c>
      <c r="I11" s="15">
        <f t="shared" ca="1" si="1"/>
        <v>0</v>
      </c>
      <c r="J11" s="14" t="str">
        <f ca="1">IFERROR(VLOOKUP(E11,'דוח ביצוע'!$B$3:$G$36,6,0),"")</f>
        <v/>
      </c>
      <c r="K11" s="14" t="str">
        <f ca="1">IFERROR(VLOOKUP(E11,'דוח ביצוע'!$B$3:$H$36,7,0),"")</f>
        <v/>
      </c>
      <c r="L11" s="15">
        <f t="shared" ca="1" si="2"/>
        <v>0</v>
      </c>
      <c r="M11" s="16"/>
      <c r="N11" s="17"/>
      <c r="P11" s="1">
        <v>2</v>
      </c>
      <c r="Q11" s="1" t="s">
        <v>17</v>
      </c>
    </row>
    <row r="12" spans="1:18" ht="18" customHeight="1" x14ac:dyDescent="0.2">
      <c r="A12" s="11"/>
      <c r="B12" s="11">
        <v>4</v>
      </c>
      <c r="C12" s="11"/>
      <c r="E12" s="12">
        <f t="shared" si="0"/>
        <v>44412</v>
      </c>
      <c r="F12" s="13" t="str">
        <f>VLOOKUP(MOD(E12,7),$P$9:Q18,2)</f>
        <v>רביעי</v>
      </c>
      <c r="G12" s="14">
        <f ca="1">IFERROR(VLOOKUP(E12,'דוח ביצוע'!B:D,3,0),0)</f>
        <v>0</v>
      </c>
      <c r="H12" s="14">
        <f ca="1">IFERROR(VLOOKUP(E12,'דוח ביצוע'!B:E,4,0),0)</f>
        <v>0</v>
      </c>
      <c r="I12" s="15">
        <f t="shared" ca="1" si="1"/>
        <v>0</v>
      </c>
      <c r="J12" s="14" t="str">
        <f ca="1">IFERROR(VLOOKUP(E12,'דוח ביצוע'!$B$3:$G$36,6,0),"")</f>
        <v/>
      </c>
      <c r="K12" s="14" t="str">
        <f ca="1">IFERROR(VLOOKUP(E12,'דוח ביצוע'!$B$3:$H$36,7,0),"")</f>
        <v/>
      </c>
      <c r="L12" s="15">
        <f t="shared" ca="1" si="2"/>
        <v>0</v>
      </c>
      <c r="M12" s="16"/>
      <c r="N12" s="17"/>
      <c r="P12" s="1">
        <v>3</v>
      </c>
      <c r="Q12" s="1" t="s">
        <v>18</v>
      </c>
    </row>
    <row r="13" spans="1:18" ht="18" customHeight="1" x14ac:dyDescent="0.2">
      <c r="A13" s="11"/>
      <c r="B13" s="11">
        <v>5</v>
      </c>
      <c r="C13" s="11"/>
      <c r="E13" s="12">
        <f t="shared" si="0"/>
        <v>44413</v>
      </c>
      <c r="F13" s="13" t="str">
        <f>VLOOKUP(MOD(E13,7),$P$9:Q19,2)</f>
        <v>חמישי</v>
      </c>
      <c r="G13" s="14">
        <f ca="1">IFERROR(VLOOKUP(E13,'דוח ביצוע'!B:D,3,0),0)</f>
        <v>0</v>
      </c>
      <c r="H13" s="14">
        <f ca="1">IFERROR(VLOOKUP(E13,'דוח ביצוע'!B:E,4,0),0)</f>
        <v>0</v>
      </c>
      <c r="I13" s="15">
        <f t="shared" ca="1" si="1"/>
        <v>0</v>
      </c>
      <c r="J13" s="14" t="str">
        <f ca="1">IFERROR(VLOOKUP(E13,'דוח ביצוע'!$B$3:$G$36,6,0),"")</f>
        <v/>
      </c>
      <c r="K13" s="14" t="str">
        <f ca="1">IFERROR(VLOOKUP(E13,'דוח ביצוע'!$B$3:$H$36,7,0),"")</f>
        <v/>
      </c>
      <c r="L13" s="15">
        <f t="shared" ca="1" si="2"/>
        <v>0</v>
      </c>
      <c r="M13" s="16"/>
      <c r="N13" s="17"/>
      <c r="P13" s="1">
        <v>4</v>
      </c>
      <c r="Q13" s="1" t="s">
        <v>19</v>
      </c>
    </row>
    <row r="14" spans="1:18" ht="18" customHeight="1" x14ac:dyDescent="0.2">
      <c r="A14" s="11"/>
      <c r="B14" s="11">
        <v>6</v>
      </c>
      <c r="C14" s="11"/>
      <c r="E14" s="12">
        <f t="shared" si="0"/>
        <v>44414</v>
      </c>
      <c r="F14" s="13" t="str">
        <f>VLOOKUP(MOD(E14,7),$P$9:Q20,2)</f>
        <v>שישי</v>
      </c>
      <c r="G14" s="14"/>
      <c r="H14" s="14"/>
      <c r="I14" s="15">
        <f t="shared" si="1"/>
        <v>0</v>
      </c>
      <c r="J14" s="14" t="str">
        <f ca="1">IFERROR(VLOOKUP(E14,'דוח ביצוע'!$B$3:$G$36,6,0),"")</f>
        <v/>
      </c>
      <c r="K14" s="14" t="str">
        <f ca="1">IFERROR(VLOOKUP(E14,'דוח ביצוע'!$B$3:$H$36,7,0),"")</f>
        <v/>
      </c>
      <c r="L14" s="15">
        <f t="shared" ca="1" si="2"/>
        <v>0</v>
      </c>
      <c r="M14" s="16"/>
      <c r="N14" s="17"/>
      <c r="P14" s="1">
        <v>5</v>
      </c>
      <c r="Q14" s="1" t="s">
        <v>20</v>
      </c>
    </row>
    <row r="15" spans="1:18" ht="18" customHeight="1" x14ac:dyDescent="0.2">
      <c r="A15" s="11"/>
      <c r="B15" s="11">
        <v>7</v>
      </c>
      <c r="C15" s="11"/>
      <c r="E15" s="12">
        <f t="shared" si="0"/>
        <v>44415</v>
      </c>
      <c r="F15" s="13" t="str">
        <f>VLOOKUP(MOD(E15,7),$P$9:Q21,2)</f>
        <v>שבת</v>
      </c>
      <c r="G15" s="14"/>
      <c r="H15" s="14"/>
      <c r="I15" s="15">
        <f t="shared" si="1"/>
        <v>0</v>
      </c>
      <c r="J15" s="14" t="str">
        <f ca="1">IFERROR(VLOOKUP(E15,'דוח ביצוע'!$B$3:$G$36,6,0),"")</f>
        <v/>
      </c>
      <c r="K15" s="14" t="str">
        <f ca="1">IFERROR(VLOOKUP(E15,'דוח ביצוע'!$B$3:$H$36,7,0),"")</f>
        <v/>
      </c>
      <c r="L15" s="15">
        <f t="shared" ca="1" si="2"/>
        <v>0</v>
      </c>
      <c r="M15" s="16"/>
      <c r="N15" s="17"/>
      <c r="P15" s="1">
        <v>6</v>
      </c>
      <c r="Q15" s="1" t="s">
        <v>21</v>
      </c>
    </row>
    <row r="16" spans="1:18" ht="18" customHeight="1" x14ac:dyDescent="0.2">
      <c r="A16" s="11"/>
      <c r="B16" s="11">
        <v>8</v>
      </c>
      <c r="C16" s="11"/>
      <c r="E16" s="12">
        <f t="shared" si="0"/>
        <v>44416</v>
      </c>
      <c r="F16" s="13" t="str">
        <f>VLOOKUP(MOD(E16,7),$P$9:Q22,2)</f>
        <v>ראשון</v>
      </c>
      <c r="G16" s="14">
        <f ca="1">IFERROR(VLOOKUP(E16,'דוח ביצוע'!B:D,3,0),0)</f>
        <v>0</v>
      </c>
      <c r="H16" s="14">
        <f ca="1">IFERROR(VLOOKUP(E16,'דוח ביצוע'!B:E,4,0),0)</f>
        <v>0</v>
      </c>
      <c r="I16" s="15">
        <f t="shared" ca="1" si="1"/>
        <v>0</v>
      </c>
      <c r="J16" s="14" t="str">
        <f ca="1">IFERROR(VLOOKUP(E16,'דוח ביצוע'!$B$3:$G$36,6,0),"")</f>
        <v/>
      </c>
      <c r="K16" s="14" t="str">
        <f ca="1">IFERROR(VLOOKUP(E16,'דוח ביצוע'!$B$3:$H$36,7,0),"")</f>
        <v/>
      </c>
      <c r="L16" s="15">
        <f t="shared" ca="1" si="2"/>
        <v>0</v>
      </c>
      <c r="M16" s="16"/>
      <c r="N16" s="17"/>
    </row>
    <row r="17" spans="1:14" ht="18" customHeight="1" x14ac:dyDescent="0.2">
      <c r="A17" s="11"/>
      <c r="B17" s="11">
        <v>9</v>
      </c>
      <c r="C17" s="11"/>
      <c r="E17" s="12">
        <f t="shared" si="0"/>
        <v>44417</v>
      </c>
      <c r="F17" s="13" t="str">
        <f>VLOOKUP(MOD(E17,7),$P$9:Q23,2)</f>
        <v>שני</v>
      </c>
      <c r="G17" s="14">
        <f ca="1">IFERROR(VLOOKUP(E17,'דוח ביצוע'!B:D,3,0),0)</f>
        <v>0</v>
      </c>
      <c r="H17" s="14">
        <f ca="1">IFERROR(VLOOKUP(E17,'דוח ביצוע'!B:E,4,0),0)</f>
        <v>0</v>
      </c>
      <c r="I17" s="15">
        <f t="shared" ca="1" si="1"/>
        <v>0</v>
      </c>
      <c r="J17" s="14" t="str">
        <f ca="1">IFERROR(VLOOKUP(E17,'דוח ביצוע'!$B$3:$G$36,6,0),"")</f>
        <v/>
      </c>
      <c r="K17" s="14" t="str">
        <f ca="1">IFERROR(VLOOKUP(E17,'דוח ביצוע'!$B$3:$H$36,7,0),"")</f>
        <v/>
      </c>
      <c r="L17" s="15">
        <f t="shared" ca="1" si="2"/>
        <v>0</v>
      </c>
      <c r="M17" s="16"/>
      <c r="N17" s="17"/>
    </row>
    <row r="18" spans="1:14" ht="18" customHeight="1" x14ac:dyDescent="0.2">
      <c r="A18" s="11"/>
      <c r="B18" s="11">
        <v>10</v>
      </c>
      <c r="C18" s="11"/>
      <c r="E18" s="12">
        <f t="shared" si="0"/>
        <v>44418</v>
      </c>
      <c r="F18" s="13" t="str">
        <f>VLOOKUP(MOD(E18,7),$P$9:Q24,2)</f>
        <v>שלישי</v>
      </c>
      <c r="G18" s="14">
        <f ca="1">IFERROR(VLOOKUP(E18,'דוח ביצוע'!B:D,3,0),0)</f>
        <v>0</v>
      </c>
      <c r="H18" s="14">
        <f ca="1">IFERROR(VLOOKUP(E18,'דוח ביצוע'!B:E,4,0),0)</f>
        <v>0</v>
      </c>
      <c r="I18" s="15">
        <f t="shared" ca="1" si="1"/>
        <v>0</v>
      </c>
      <c r="J18" s="14" t="str">
        <f ca="1">IFERROR(VLOOKUP(E18,'דוח ביצוע'!$B$3:$G$36,6,0),"")</f>
        <v/>
      </c>
      <c r="K18" s="14" t="str">
        <f ca="1">IFERROR(VLOOKUP(E18,'דוח ביצוע'!$B$3:$H$36,7,0),"")</f>
        <v/>
      </c>
      <c r="L18" s="15">
        <f t="shared" ca="1" si="2"/>
        <v>0</v>
      </c>
      <c r="M18" s="16"/>
      <c r="N18" s="17"/>
    </row>
    <row r="19" spans="1:14" ht="18" customHeight="1" x14ac:dyDescent="0.2">
      <c r="A19" s="11"/>
      <c r="B19" s="11">
        <v>11</v>
      </c>
      <c r="C19" s="11"/>
      <c r="E19" s="12">
        <f t="shared" si="0"/>
        <v>44419</v>
      </c>
      <c r="F19" s="13" t="str">
        <f>VLOOKUP(MOD(E19,7),$P$9:Q25,2)</f>
        <v>רביעי</v>
      </c>
      <c r="G19" s="14">
        <f ca="1">IFERROR(VLOOKUP(E19,'דוח ביצוע'!B:D,3,0),0)</f>
        <v>0</v>
      </c>
      <c r="H19" s="14">
        <f ca="1">IFERROR(VLOOKUP(E19,'דוח ביצוע'!B:E,4,0),0)</f>
        <v>0</v>
      </c>
      <c r="I19" s="15">
        <f t="shared" ca="1" si="1"/>
        <v>0</v>
      </c>
      <c r="J19" s="14" t="str">
        <f ca="1">IFERROR(VLOOKUP(E19,'דוח ביצוע'!$B$3:$G$36,6,0),"")</f>
        <v/>
      </c>
      <c r="K19" s="14" t="str">
        <f ca="1">IFERROR(VLOOKUP(E19,'דוח ביצוע'!$B$3:$H$36,7,0),"")</f>
        <v/>
      </c>
      <c r="L19" s="15">
        <f t="shared" ca="1" si="2"/>
        <v>0</v>
      </c>
      <c r="M19" s="16"/>
      <c r="N19" s="17"/>
    </row>
    <row r="20" spans="1:14" ht="18" customHeight="1" x14ac:dyDescent="0.2">
      <c r="A20" s="11"/>
      <c r="B20" s="11">
        <v>12</v>
      </c>
      <c r="C20" s="11"/>
      <c r="E20" s="12">
        <f t="shared" si="0"/>
        <v>44420</v>
      </c>
      <c r="F20" s="13" t="str">
        <f>VLOOKUP(MOD(E20,7),$P$9:Q26,2)</f>
        <v>חמישי</v>
      </c>
      <c r="G20" s="14">
        <f ca="1">IFERROR(VLOOKUP(E20,'דוח ביצוע'!B:D,3,0),0)</f>
        <v>0</v>
      </c>
      <c r="H20" s="14">
        <f ca="1">IFERROR(VLOOKUP(E20,'דוח ביצוע'!B:E,4,0),0)</f>
        <v>0</v>
      </c>
      <c r="I20" s="15">
        <f t="shared" ca="1" si="1"/>
        <v>0</v>
      </c>
      <c r="J20" s="14" t="str">
        <f ca="1">IFERROR(VLOOKUP(E20,'דוח ביצוע'!$B$3:$G$36,6,0),"")</f>
        <v/>
      </c>
      <c r="K20" s="14" t="str">
        <f ca="1">IFERROR(VLOOKUP(E20,'דוח ביצוע'!$B$3:$H$36,7,0),"")</f>
        <v/>
      </c>
      <c r="L20" s="15">
        <f t="shared" ca="1" si="2"/>
        <v>0</v>
      </c>
      <c r="M20" s="16"/>
      <c r="N20" s="17"/>
    </row>
    <row r="21" spans="1:14" ht="18" customHeight="1" x14ac:dyDescent="0.2">
      <c r="A21" s="11"/>
      <c r="B21" s="11">
        <v>13</v>
      </c>
      <c r="C21" s="11"/>
      <c r="E21" s="12">
        <f t="shared" si="0"/>
        <v>44421</v>
      </c>
      <c r="F21" s="13" t="str">
        <f>VLOOKUP(MOD(E21,7),$P$9:Q27,2)</f>
        <v>שישי</v>
      </c>
      <c r="G21" s="14"/>
      <c r="H21" s="14"/>
      <c r="I21" s="15">
        <f t="shared" si="1"/>
        <v>0</v>
      </c>
      <c r="J21" s="14" t="str">
        <f ca="1">IFERROR(VLOOKUP(E21,'דוח ביצוע'!$B$3:$G$36,6,0),"")</f>
        <v/>
      </c>
      <c r="K21" s="14" t="str">
        <f ca="1">IFERROR(VLOOKUP(E21,'דוח ביצוע'!$B$3:$H$36,7,0),"")</f>
        <v/>
      </c>
      <c r="L21" s="15">
        <f t="shared" ca="1" si="2"/>
        <v>0</v>
      </c>
      <c r="M21" s="16"/>
      <c r="N21" s="17"/>
    </row>
    <row r="22" spans="1:14" ht="18" customHeight="1" x14ac:dyDescent="0.2">
      <c r="A22" s="11"/>
      <c r="B22" s="11">
        <v>14</v>
      </c>
      <c r="C22" s="11"/>
      <c r="E22" s="12">
        <f t="shared" si="0"/>
        <v>44422</v>
      </c>
      <c r="F22" s="13" t="str">
        <f>VLOOKUP(MOD(E22,7),$P$9:Q28,2)</f>
        <v>שבת</v>
      </c>
      <c r="G22" s="14"/>
      <c r="H22" s="14"/>
      <c r="I22" s="15">
        <f t="shared" si="1"/>
        <v>0</v>
      </c>
      <c r="J22" s="14" t="str">
        <f ca="1">IFERROR(VLOOKUP(E22,'דוח ביצוע'!$B$3:$G$36,6,0),"")</f>
        <v/>
      </c>
      <c r="K22" s="14" t="str">
        <f ca="1">IFERROR(VLOOKUP(E22,'דוח ביצוע'!$B$3:$H$36,7,0),"")</f>
        <v/>
      </c>
      <c r="L22" s="15">
        <f t="shared" ca="1" si="2"/>
        <v>0</v>
      </c>
      <c r="M22" s="16"/>
      <c r="N22" s="17"/>
    </row>
    <row r="23" spans="1:14" ht="18" customHeight="1" x14ac:dyDescent="0.2">
      <c r="A23" s="11"/>
      <c r="B23" s="11">
        <v>15</v>
      </c>
      <c r="C23" s="11"/>
      <c r="E23" s="12">
        <f t="shared" si="0"/>
        <v>44423</v>
      </c>
      <c r="F23" s="13" t="str">
        <f>VLOOKUP(MOD(E23,7),$P$9:Q29,2)</f>
        <v>ראשון</v>
      </c>
      <c r="G23" s="14">
        <f ca="1">IFERROR(VLOOKUP(E23,'דוח ביצוע'!B:D,3,0),0)</f>
        <v>0</v>
      </c>
      <c r="H23" s="14">
        <f ca="1">IFERROR(VLOOKUP(E23,'דוח ביצוע'!B:E,4,0),0)</f>
        <v>0</v>
      </c>
      <c r="I23" s="15">
        <f t="shared" ca="1" si="1"/>
        <v>0</v>
      </c>
      <c r="J23" s="14" t="str">
        <f ca="1">IFERROR(VLOOKUP(E23,'דוח ביצוע'!$B$3:$G$36,6,0),"")</f>
        <v/>
      </c>
      <c r="K23" s="14" t="str">
        <f ca="1">IFERROR(VLOOKUP(E23,'דוח ביצוע'!$B$3:$H$36,7,0),"")</f>
        <v/>
      </c>
      <c r="L23" s="15">
        <f t="shared" ca="1" si="2"/>
        <v>0</v>
      </c>
      <c r="M23" s="16"/>
      <c r="N23" s="17"/>
    </row>
    <row r="24" spans="1:14" ht="18" customHeight="1" x14ac:dyDescent="0.2">
      <c r="A24" s="11"/>
      <c r="B24" s="11">
        <v>16</v>
      </c>
      <c r="C24" s="11"/>
      <c r="E24" s="12">
        <f t="shared" si="0"/>
        <v>44424</v>
      </c>
      <c r="F24" s="13" t="str">
        <f>VLOOKUP(MOD(E24,7),$P$9:Q30,2)</f>
        <v>שני</v>
      </c>
      <c r="G24" s="14">
        <f ca="1">IFERROR(VLOOKUP(E24,'דוח ביצוע'!B:D,3,0),0)</f>
        <v>0</v>
      </c>
      <c r="H24" s="14">
        <f ca="1">IFERROR(VLOOKUP(E24,'דוח ביצוע'!B:E,4,0),0)</f>
        <v>0</v>
      </c>
      <c r="I24" s="15">
        <f t="shared" ca="1" si="1"/>
        <v>0</v>
      </c>
      <c r="J24" s="14" t="str">
        <f ca="1">IFERROR(VLOOKUP(E24,'דוח ביצוע'!$B$3:$G$36,6,0),"")</f>
        <v/>
      </c>
      <c r="K24" s="14" t="str">
        <f ca="1">IFERROR(VLOOKUP(E24,'דוח ביצוע'!$B$3:$H$36,7,0),"")</f>
        <v/>
      </c>
      <c r="L24" s="15">
        <f t="shared" ca="1" si="2"/>
        <v>0</v>
      </c>
      <c r="M24" s="16"/>
      <c r="N24" s="17"/>
    </row>
    <row r="25" spans="1:14" ht="18" customHeight="1" x14ac:dyDescent="0.2">
      <c r="A25" s="11"/>
      <c r="B25" s="11">
        <v>17</v>
      </c>
      <c r="C25" s="11"/>
      <c r="E25" s="12">
        <f t="shared" si="0"/>
        <v>44425</v>
      </c>
      <c r="F25" s="13" t="str">
        <f>VLOOKUP(MOD(E25,7),$P$9:Q31,2)</f>
        <v>שלישי</v>
      </c>
      <c r="G25" s="14">
        <f ca="1">IFERROR(VLOOKUP(E25,'דוח ביצוע'!B:D,3,0),0)</f>
        <v>0</v>
      </c>
      <c r="H25" s="14">
        <f ca="1">IFERROR(VLOOKUP(E25,'דוח ביצוע'!B:E,4,0),0)</f>
        <v>0</v>
      </c>
      <c r="I25" s="15">
        <f t="shared" ca="1" si="1"/>
        <v>0</v>
      </c>
      <c r="J25" s="14" t="str">
        <f ca="1">IFERROR(VLOOKUP(E25,'דוח ביצוע'!$B$3:$G$36,6,0),"")</f>
        <v/>
      </c>
      <c r="K25" s="14" t="str">
        <f ca="1">IFERROR(VLOOKUP(E25,'דוח ביצוע'!$B$3:$H$36,7,0),"")</f>
        <v/>
      </c>
      <c r="L25" s="15">
        <f t="shared" ca="1" si="2"/>
        <v>0</v>
      </c>
      <c r="M25" s="16"/>
      <c r="N25" s="17"/>
    </row>
    <row r="26" spans="1:14" ht="18" customHeight="1" x14ac:dyDescent="0.2">
      <c r="A26" s="11"/>
      <c r="B26" s="11">
        <v>18</v>
      </c>
      <c r="C26" s="11"/>
      <c r="E26" s="12">
        <f t="shared" si="0"/>
        <v>44426</v>
      </c>
      <c r="F26" s="13" t="str">
        <f>VLOOKUP(MOD(E26,7),$P$9:Q32,2)</f>
        <v>רביעי</v>
      </c>
      <c r="G26" s="14">
        <f ca="1">IFERROR(VLOOKUP(E26,'דוח ביצוע'!B:D,3,0),0)</f>
        <v>0</v>
      </c>
      <c r="H26" s="14">
        <f ca="1">IFERROR(VLOOKUP(E26,'דוח ביצוע'!B:E,4,0),0)</f>
        <v>0</v>
      </c>
      <c r="I26" s="15">
        <f t="shared" ca="1" si="1"/>
        <v>0</v>
      </c>
      <c r="J26" s="14" t="str">
        <f ca="1">IFERROR(VLOOKUP(E26,'דוח ביצוע'!$B$3:$G$36,6,0),"")</f>
        <v/>
      </c>
      <c r="K26" s="14" t="str">
        <f ca="1">IFERROR(VLOOKUP(E26,'דוח ביצוע'!$B$3:$H$36,7,0),"")</f>
        <v/>
      </c>
      <c r="L26" s="15">
        <f t="shared" ca="1" si="2"/>
        <v>0</v>
      </c>
      <c r="M26" s="16"/>
      <c r="N26" s="17"/>
    </row>
    <row r="27" spans="1:14" ht="18" customHeight="1" x14ac:dyDescent="0.2">
      <c r="A27" s="11"/>
      <c r="B27" s="11">
        <v>19</v>
      </c>
      <c r="C27" s="11"/>
      <c r="E27" s="12">
        <f t="shared" si="0"/>
        <v>44427</v>
      </c>
      <c r="F27" s="13" t="str">
        <f>VLOOKUP(MOD(E27,7),$P$9:Q33,2)</f>
        <v>חמישי</v>
      </c>
      <c r="G27" s="14">
        <f ca="1">IFERROR(VLOOKUP(E27,'דוח ביצוע'!B:D,3,0),0)</f>
        <v>0</v>
      </c>
      <c r="H27" s="14">
        <f ca="1">IFERROR(VLOOKUP(E27,'דוח ביצוע'!B:E,4,0),0)</f>
        <v>0</v>
      </c>
      <c r="I27" s="15">
        <f t="shared" ca="1" si="1"/>
        <v>0</v>
      </c>
      <c r="J27" s="14" t="str">
        <f ca="1">IFERROR(VLOOKUP(E27,'דוח ביצוע'!$B$3:$G$36,6,0),"")</f>
        <v/>
      </c>
      <c r="K27" s="14" t="str">
        <f ca="1">IFERROR(VLOOKUP(E27,'דוח ביצוע'!$B$3:$H$36,7,0),"")</f>
        <v/>
      </c>
      <c r="L27" s="15">
        <f t="shared" ca="1" si="2"/>
        <v>0</v>
      </c>
      <c r="M27" s="16"/>
      <c r="N27" s="17"/>
    </row>
    <row r="28" spans="1:14" ht="18" customHeight="1" x14ac:dyDescent="0.2">
      <c r="A28" s="11"/>
      <c r="B28" s="11">
        <v>20</v>
      </c>
      <c r="C28" s="11"/>
      <c r="E28" s="12">
        <f t="shared" si="0"/>
        <v>44428</v>
      </c>
      <c r="F28" s="13" t="str">
        <f>VLOOKUP(MOD(E28,7),$P$9:Q34,2)</f>
        <v>שישי</v>
      </c>
      <c r="G28" s="14"/>
      <c r="H28" s="14"/>
      <c r="I28" s="15">
        <f t="shared" si="1"/>
        <v>0</v>
      </c>
      <c r="J28" s="14" t="str">
        <f ca="1">IFERROR(VLOOKUP(E28,'דוח ביצוע'!$B$3:$G$36,6,0),"")</f>
        <v/>
      </c>
      <c r="K28" s="14" t="str">
        <f ca="1">IFERROR(VLOOKUP(E28,'דוח ביצוע'!$B$3:$H$36,7,0),"")</f>
        <v/>
      </c>
      <c r="L28" s="15">
        <f t="shared" ca="1" si="2"/>
        <v>0</v>
      </c>
      <c r="M28" s="16"/>
      <c r="N28" s="17"/>
    </row>
    <row r="29" spans="1:14" ht="18" customHeight="1" x14ac:dyDescent="0.2">
      <c r="A29" s="11"/>
      <c r="B29" s="11">
        <v>21</v>
      </c>
      <c r="C29" s="11"/>
      <c r="E29" s="12">
        <f t="shared" si="0"/>
        <v>44429</v>
      </c>
      <c r="F29" s="13" t="str">
        <f>VLOOKUP(MOD(E29,7),$P$9:Q35,2)</f>
        <v>שבת</v>
      </c>
      <c r="G29" s="14"/>
      <c r="H29" s="14"/>
      <c r="I29" s="15">
        <f t="shared" si="1"/>
        <v>0</v>
      </c>
      <c r="J29" s="14" t="str">
        <f ca="1">IFERROR(VLOOKUP(E29,'דוח ביצוע'!$B$3:$G$36,6,0),"")</f>
        <v/>
      </c>
      <c r="K29" s="14" t="str">
        <f ca="1">IFERROR(VLOOKUP(E29,'דוח ביצוע'!$B$3:$H$36,7,0),"")</f>
        <v/>
      </c>
      <c r="L29" s="15">
        <f t="shared" ca="1" si="2"/>
        <v>0</v>
      </c>
      <c r="M29" s="16"/>
      <c r="N29" s="17"/>
    </row>
    <row r="30" spans="1:14" ht="18" customHeight="1" x14ac:dyDescent="0.2">
      <c r="A30" s="11"/>
      <c r="B30" s="11">
        <v>22</v>
      </c>
      <c r="C30" s="11"/>
      <c r="E30" s="12">
        <f t="shared" si="0"/>
        <v>44430</v>
      </c>
      <c r="F30" s="13" t="str">
        <f>VLOOKUP(MOD(E30,7),$P$9:Q36,2)</f>
        <v>ראשון</v>
      </c>
      <c r="G30" s="14">
        <f ca="1">IFERROR(VLOOKUP(E30,'דוח ביצוע'!B:D,3,0),0)</f>
        <v>0</v>
      </c>
      <c r="H30" s="14">
        <f ca="1">IFERROR(VLOOKUP(E30,'דוח ביצוע'!B:E,4,0),0)</f>
        <v>0</v>
      </c>
      <c r="I30" s="15">
        <f t="shared" ca="1" si="1"/>
        <v>0</v>
      </c>
      <c r="J30" s="14" t="str">
        <f ca="1">IFERROR(VLOOKUP(E30,'דוח ביצוע'!$B$3:$G$36,6,0),"")</f>
        <v/>
      </c>
      <c r="K30" s="14" t="str">
        <f ca="1">IFERROR(VLOOKUP(E30,'דוח ביצוע'!$B$3:$H$36,7,0),"")</f>
        <v/>
      </c>
      <c r="L30" s="15">
        <f t="shared" ca="1" si="2"/>
        <v>0</v>
      </c>
      <c r="M30" s="16"/>
      <c r="N30" s="17"/>
    </row>
    <row r="31" spans="1:14" ht="18" customHeight="1" x14ac:dyDescent="0.2">
      <c r="A31" s="11"/>
      <c r="B31" s="11">
        <v>23</v>
      </c>
      <c r="C31" s="11"/>
      <c r="E31" s="12">
        <f t="shared" si="0"/>
        <v>44431</v>
      </c>
      <c r="F31" s="13" t="str">
        <f>VLOOKUP(MOD(E31,7),$P$9:Q37,2)</f>
        <v>שני</v>
      </c>
      <c r="G31" s="14">
        <f ca="1">IFERROR(VLOOKUP(E31,'דוח ביצוע'!B:D,3,0),0)</f>
        <v>0</v>
      </c>
      <c r="H31" s="14">
        <f ca="1">IFERROR(VLOOKUP(E31,'דוח ביצוע'!B:E,4,0),0)</f>
        <v>0</v>
      </c>
      <c r="I31" s="15">
        <f t="shared" ca="1" si="1"/>
        <v>0</v>
      </c>
      <c r="J31" s="14" t="str">
        <f ca="1">IFERROR(VLOOKUP(E31,'דוח ביצוע'!$B$3:$G$36,6,0),"")</f>
        <v/>
      </c>
      <c r="K31" s="14" t="str">
        <f ca="1">IFERROR(VLOOKUP(E31,'דוח ביצוע'!$B$3:$H$36,7,0),"")</f>
        <v/>
      </c>
      <c r="L31" s="15">
        <f t="shared" ca="1" si="2"/>
        <v>0</v>
      </c>
      <c r="M31" s="16"/>
      <c r="N31" s="17"/>
    </row>
    <row r="32" spans="1:14" ht="18" customHeight="1" x14ac:dyDescent="0.2">
      <c r="A32" s="11"/>
      <c r="B32" s="11">
        <v>24</v>
      </c>
      <c r="C32" s="11"/>
      <c r="E32" s="12">
        <f t="shared" si="0"/>
        <v>44432</v>
      </c>
      <c r="F32" s="13" t="str">
        <f>VLOOKUP(MOD(E32,7),$P$9:Q38,2)</f>
        <v>שלישי</v>
      </c>
      <c r="G32" s="14">
        <f ca="1">IFERROR(VLOOKUP(E32,'דוח ביצוע'!B:D,3,0),0)</f>
        <v>0</v>
      </c>
      <c r="H32" s="14">
        <f ca="1">IFERROR(VLOOKUP(E32,'דוח ביצוע'!B:E,4,0),0)</f>
        <v>0</v>
      </c>
      <c r="I32" s="15">
        <f t="shared" ca="1" si="1"/>
        <v>0</v>
      </c>
      <c r="J32" s="14" t="str">
        <f ca="1">IFERROR(VLOOKUP(E32,'דוח ביצוע'!$B$3:$G$36,6,0),"")</f>
        <v/>
      </c>
      <c r="K32" s="14" t="str">
        <f ca="1">IFERROR(VLOOKUP(E32,'דוח ביצוע'!$B$3:$H$36,7,0),"")</f>
        <v/>
      </c>
      <c r="L32" s="15">
        <f t="shared" ca="1" si="2"/>
        <v>0</v>
      </c>
      <c r="M32" s="16"/>
      <c r="N32" s="17"/>
    </row>
    <row r="33" spans="1:17" ht="18" customHeight="1" x14ac:dyDescent="0.2">
      <c r="A33" s="11"/>
      <c r="B33" s="11">
        <v>25</v>
      </c>
      <c r="C33" s="11"/>
      <c r="E33" s="12">
        <f t="shared" si="0"/>
        <v>44433</v>
      </c>
      <c r="F33" s="13" t="str">
        <f>VLOOKUP(MOD(E33,7),$P$9:Q39,2)</f>
        <v>רביעי</v>
      </c>
      <c r="G33" s="14">
        <f ca="1">IFERROR(VLOOKUP(E33,'דוח ביצוע'!B:D,3,0),0)</f>
        <v>0</v>
      </c>
      <c r="H33" s="14">
        <f ca="1">IFERROR(VLOOKUP(E33,'דוח ביצוע'!B:E,4,0),0)</f>
        <v>0</v>
      </c>
      <c r="I33" s="15">
        <f t="shared" ca="1" si="1"/>
        <v>0</v>
      </c>
      <c r="J33" s="14" t="str">
        <f ca="1">IFERROR(VLOOKUP(E33,'דוח ביצוע'!$B$3:$G$36,6,0),"")</f>
        <v/>
      </c>
      <c r="K33" s="14" t="str">
        <f ca="1">IFERROR(VLOOKUP(E33,'דוח ביצוע'!$B$3:$H$36,7,0),"")</f>
        <v/>
      </c>
      <c r="L33" s="15">
        <f t="shared" ca="1" si="2"/>
        <v>0</v>
      </c>
      <c r="M33" s="16"/>
      <c r="N33" s="17"/>
    </row>
    <row r="34" spans="1:17" ht="18" customHeight="1" x14ac:dyDescent="0.2">
      <c r="A34" s="11"/>
      <c r="B34" s="11">
        <v>26</v>
      </c>
      <c r="C34" s="11"/>
      <c r="E34" s="12">
        <f t="shared" si="0"/>
        <v>44434</v>
      </c>
      <c r="F34" s="13" t="str">
        <f>VLOOKUP(MOD(E34,7),$P$9:Q42,2)</f>
        <v>חמישי</v>
      </c>
      <c r="G34" s="14">
        <f ca="1">IFERROR(VLOOKUP(E34,'דוח ביצוע'!B:D,3,0),0)</f>
        <v>0</v>
      </c>
      <c r="H34" s="14">
        <f ca="1">IFERROR(VLOOKUP(E34,'דוח ביצוע'!B:E,4,0),0)</f>
        <v>0</v>
      </c>
      <c r="I34" s="15">
        <f t="shared" ca="1" si="1"/>
        <v>0</v>
      </c>
      <c r="J34" s="14" t="str">
        <f ca="1">IFERROR(VLOOKUP(E34,'דוח ביצוע'!$B$3:$G$36,6,0),"")</f>
        <v/>
      </c>
      <c r="K34" s="14" t="str">
        <f ca="1">IFERROR(VLOOKUP(E34,'דוח ביצוע'!$B$3:$H$36,7,0),"")</f>
        <v/>
      </c>
      <c r="L34" s="15">
        <f t="shared" ca="1" si="2"/>
        <v>0</v>
      </c>
      <c r="M34" s="16"/>
      <c r="N34" s="17"/>
    </row>
    <row r="35" spans="1:17" ht="18" customHeight="1" x14ac:dyDescent="0.2">
      <c r="A35" s="11"/>
      <c r="B35" s="11">
        <v>27</v>
      </c>
      <c r="C35" s="11"/>
      <c r="E35" s="12">
        <f t="shared" si="0"/>
        <v>44435</v>
      </c>
      <c r="F35" s="13" t="str">
        <f>VLOOKUP(MOD(E35,7),$P$9:Q42,2)</f>
        <v>שישי</v>
      </c>
      <c r="G35" s="14"/>
      <c r="H35" s="14"/>
      <c r="I35" s="15">
        <f t="shared" si="1"/>
        <v>0</v>
      </c>
      <c r="J35" s="14" t="str">
        <f ca="1">IFERROR(VLOOKUP(E35,'דוח ביצוע'!$B$3:$G$36,6,0),"")</f>
        <v/>
      </c>
      <c r="K35" s="14" t="str">
        <f ca="1">IFERROR(VLOOKUP(E35,'דוח ביצוע'!$B$3:$H$36,7,0),"")</f>
        <v/>
      </c>
      <c r="L35" s="15">
        <f t="shared" ca="1" si="2"/>
        <v>0</v>
      </c>
      <c r="M35" s="16"/>
      <c r="N35" s="17"/>
    </row>
    <row r="36" spans="1:17" ht="18" customHeight="1" x14ac:dyDescent="0.2">
      <c r="A36" s="11"/>
      <c r="B36" s="11">
        <v>28</v>
      </c>
      <c r="C36" s="11"/>
      <c r="E36" s="12">
        <f t="shared" si="0"/>
        <v>44436</v>
      </c>
      <c r="F36" s="13" t="str">
        <f>VLOOKUP(MOD(E36,7),$P$9:Q42,2)</f>
        <v>שבת</v>
      </c>
      <c r="G36" s="14"/>
      <c r="H36" s="14"/>
      <c r="I36" s="15">
        <f t="shared" si="1"/>
        <v>0</v>
      </c>
      <c r="J36" s="14" t="str">
        <f ca="1">IFERROR(VLOOKUP(E36,'דוח ביצוע'!$B$3:$G$36,6,0),"")</f>
        <v/>
      </c>
      <c r="K36" s="14" t="str">
        <f ca="1">IFERROR(VLOOKUP(E36,'דוח ביצוע'!$B$3:$H$36,7,0),"")</f>
        <v/>
      </c>
      <c r="L36" s="15">
        <f t="shared" ca="1" si="2"/>
        <v>0</v>
      </c>
      <c r="M36" s="16"/>
      <c r="N36" s="17"/>
      <c r="P36" s="19"/>
    </row>
    <row r="37" spans="1:17" ht="18" customHeight="1" x14ac:dyDescent="0.2">
      <c r="A37" s="12">
        <f>DATE($F$3,$F$4,B37)</f>
        <v>44437</v>
      </c>
      <c r="B37" s="11">
        <v>29</v>
      </c>
      <c r="C37" s="11" t="b">
        <f>+MONTH(E36)=MONTH(A37)</f>
        <v>1</v>
      </c>
      <c r="E37" s="12">
        <f>IF(C37=TRUE,DATE($F$3,$F$4,B37),0)</f>
        <v>44437</v>
      </c>
      <c r="F37" s="13" t="str">
        <f>IF(C37=TRUE,VLOOKUP(MOD(E37,7),$P$9:Q42,2),0)</f>
        <v>ראשון</v>
      </c>
      <c r="G37" s="14">
        <f ca="1">IFERROR(VLOOKUP(E37,'דוח ביצוע'!B:D,3,0),0)</f>
        <v>0</v>
      </c>
      <c r="H37" s="14">
        <f ca="1">IFERROR(VLOOKUP(E37,'דוח ביצוע'!B:E,4,0),0)</f>
        <v>0</v>
      </c>
      <c r="I37" s="15">
        <f t="shared" ca="1" si="1"/>
        <v>0</v>
      </c>
      <c r="J37" s="14" t="str">
        <f ca="1">IFERROR(VLOOKUP(E37,'דוח ביצוע'!$B$3:$G$36,6,0),"")</f>
        <v/>
      </c>
      <c r="K37" s="14" t="str">
        <f ca="1">IFERROR(VLOOKUP(E37,'דוח ביצוע'!$B$3:$H$36,7,0),"")</f>
        <v/>
      </c>
      <c r="L37" s="15">
        <f t="shared" ca="1" si="2"/>
        <v>0</v>
      </c>
      <c r="M37" s="16"/>
      <c r="N37" s="17"/>
      <c r="P37" s="19"/>
      <c r="Q37" s="20"/>
    </row>
    <row r="38" spans="1:17" ht="18" customHeight="1" x14ac:dyDescent="0.2">
      <c r="A38" s="12">
        <f>DATE($F$3,$F$4,B38)</f>
        <v>44438</v>
      </c>
      <c r="B38" s="11">
        <v>30</v>
      </c>
      <c r="C38" s="11" t="b">
        <f>+MONTH(E36)=MONTH(A38)</f>
        <v>1</v>
      </c>
      <c r="E38" s="12">
        <f>IF(C38=TRUE,DATE($F$3,$F$4,B38),0)</f>
        <v>44438</v>
      </c>
      <c r="F38" s="13" t="str">
        <f>IF(C38=TRUE,VLOOKUP(MOD(E38,7),$P$9:Q43,2),0)</f>
        <v>שני</v>
      </c>
      <c r="G38" s="14">
        <f ca="1">IFERROR(VLOOKUP(E38,'דוח ביצוע'!B:D,3,0),0)</f>
        <v>0</v>
      </c>
      <c r="H38" s="14">
        <f ca="1">IFERROR(VLOOKUP(E38,'דוח ביצוע'!B:E,4,0),0)</f>
        <v>0</v>
      </c>
      <c r="I38" s="15">
        <f t="shared" ca="1" si="1"/>
        <v>0</v>
      </c>
      <c r="J38" s="14" t="str">
        <f ca="1">IFERROR(VLOOKUP(E38,'דוח ביצוע'!$B$3:$G$36,6,0),"")</f>
        <v/>
      </c>
      <c r="K38" s="14" t="str">
        <f ca="1">IFERROR(VLOOKUP(E38,'דוח ביצוע'!$B$3:$H$36,7,0),"")</f>
        <v/>
      </c>
      <c r="L38" s="15">
        <f t="shared" ca="1" si="2"/>
        <v>0</v>
      </c>
      <c r="M38" s="16"/>
      <c r="N38" s="17"/>
      <c r="P38" s="19"/>
    </row>
    <row r="39" spans="1:17" ht="18" customHeight="1" x14ac:dyDescent="0.2">
      <c r="A39" s="12">
        <f>DATE($F$3,$F$4,B39)</f>
        <v>44439</v>
      </c>
      <c r="B39" s="11">
        <v>31</v>
      </c>
      <c r="C39" s="11" t="b">
        <f>+MONTH(E36)=MONTH(A39)</f>
        <v>1</v>
      </c>
      <c r="E39" s="12">
        <f>IF(C39=TRUE,DATE($F$3,$F$4,B39),0)</f>
        <v>44439</v>
      </c>
      <c r="F39" s="13" t="str">
        <f>IF(C39=TRUE,VLOOKUP(MOD(E39,7),$P$9:Q44,2),0)</f>
        <v>שלישי</v>
      </c>
      <c r="G39" s="14">
        <f ca="1">IFERROR(VLOOKUP(E39,'דוח ביצוע'!B:D,3,0),0)</f>
        <v>0</v>
      </c>
      <c r="H39" s="14">
        <f ca="1">IFERROR(VLOOKUP(E39,'דוח ביצוע'!B:E,4,0),0)</f>
        <v>0</v>
      </c>
      <c r="I39" s="15">
        <f t="shared" ca="1" si="1"/>
        <v>0</v>
      </c>
      <c r="J39" s="14" t="str">
        <f ca="1">IFERROR(VLOOKUP(E39,'דוח ביצוע'!$B$3:$G$36,6,0),"")</f>
        <v/>
      </c>
      <c r="K39" s="14" t="str">
        <f ca="1">IFERROR(VLOOKUP(E39,'דוח ביצוע'!$B$3:$H$36,7,0),"")</f>
        <v/>
      </c>
      <c r="L39" s="15">
        <f t="shared" ca="1" si="2"/>
        <v>0</v>
      </c>
      <c r="M39" s="16"/>
      <c r="N39" s="17"/>
      <c r="P39" s="19"/>
    </row>
    <row r="40" spans="1:17" ht="18" customHeight="1" x14ac:dyDescent="0.2">
      <c r="E40" s="21"/>
      <c r="F40" s="22"/>
      <c r="G40" s="23"/>
      <c r="H40" s="23"/>
      <c r="I40" s="24"/>
      <c r="J40" s="23"/>
      <c r="K40" s="23"/>
      <c r="L40" s="24"/>
      <c r="M40" s="25"/>
      <c r="N40" s="10"/>
    </row>
    <row r="41" spans="1:17" ht="18" customHeight="1" x14ac:dyDescent="0.2">
      <c r="F41" s="22"/>
      <c r="G41" s="23"/>
      <c r="H41" s="23"/>
      <c r="I41" s="24"/>
      <c r="J41" s="23"/>
      <c r="K41" s="23"/>
      <c r="L41" s="24"/>
      <c r="M41" s="25"/>
      <c r="N41" s="10"/>
    </row>
    <row r="42" spans="1:17" s="2" customFormat="1" ht="24.95" customHeight="1" x14ac:dyDescent="0.2">
      <c r="G42" s="146" t="s">
        <v>22</v>
      </c>
      <c r="H42" s="147"/>
      <c r="I42" s="26">
        <f ca="1">SUM(I9:I39)</f>
        <v>0</v>
      </c>
      <c r="L42" s="148" t="s">
        <v>23</v>
      </c>
      <c r="M42" s="149"/>
      <c r="N42" s="27"/>
      <c r="O42" s="28"/>
    </row>
    <row r="43" spans="1:17" s="2" customFormat="1" ht="24.95" customHeight="1" x14ac:dyDescent="0.15">
      <c r="G43" s="146" t="s">
        <v>24</v>
      </c>
      <c r="H43" s="147"/>
      <c r="I43" s="26">
        <f ca="1">SUM(L9:L39)</f>
        <v>0</v>
      </c>
      <c r="L43" s="148" t="s">
        <v>25</v>
      </c>
      <c r="M43" s="149"/>
      <c r="N43" s="17"/>
      <c r="O43" s="28"/>
    </row>
    <row r="44" spans="1:17" s="2" customFormat="1" ht="24.95" customHeight="1" x14ac:dyDescent="0.15">
      <c r="G44" s="146" t="s">
        <v>26</v>
      </c>
      <c r="H44" s="147"/>
      <c r="I44" s="29">
        <f>COUNTA(M9:M39)</f>
        <v>0</v>
      </c>
      <c r="L44" s="148" t="s">
        <v>27</v>
      </c>
      <c r="M44" s="149"/>
      <c r="N44" s="17"/>
      <c r="O44" s="28"/>
    </row>
    <row r="45" spans="1:17" ht="18" customHeight="1" x14ac:dyDescent="0.2"/>
  </sheetData>
  <mergeCells count="10">
    <mergeCell ref="G43:H43"/>
    <mergeCell ref="L43:M43"/>
    <mergeCell ref="G44:H44"/>
    <mergeCell ref="L44:M44"/>
    <mergeCell ref="I3:K3"/>
    <mergeCell ref="I4:K4"/>
    <mergeCell ref="G7:I7"/>
    <mergeCell ref="J7:L7"/>
    <mergeCell ref="G42:H42"/>
    <mergeCell ref="L42:M42"/>
  </mergeCells>
  <dataValidations count="5">
    <dataValidation type="list" allowBlank="1" showInputMessage="1" showErrorMessage="1" sqref="M9:M41" xr:uid="{00000000-0002-0000-0A00-000000000000}">
      <formula1>$R$9:$R$10</formula1>
    </dataValidation>
    <dataValidation type="time" allowBlank="1" showInputMessage="1" showErrorMessage="1" sqref="J40:K41 G9:H41" xr:uid="{00000000-0002-0000-0A00-000001000000}">
      <formula1>0</formula1>
      <formula2>0.999305555555556</formula2>
    </dataValidation>
    <dataValidation type="whole" allowBlank="1" showInputMessage="1" showErrorMessage="1" sqref="F3" xr:uid="{00000000-0002-0000-0A00-000002000000}">
      <formula1>2002</formula1>
      <formula2>2100</formula2>
    </dataValidation>
    <dataValidation type="whole" allowBlank="1" showInputMessage="1" showErrorMessage="1" sqref="F4" xr:uid="{00000000-0002-0000-0A00-000003000000}">
      <formula1>1</formula1>
      <formula2>12</formula2>
    </dataValidation>
    <dataValidation type="whole" allowBlank="1" showInputMessage="1" showErrorMessage="1" sqref="F5" xr:uid="{00000000-0002-0000-0A00-000004000000}">
      <formula1>150</formula1>
      <formula2>216</formula2>
    </dataValidation>
  </dataValidations>
  <pageMargins left="0.7" right="0.7" top="0.75" bottom="0.75" header="0.3" footer="0.3"/>
  <pageSetup paperSize="9" scale="82" orientation="portrait" r:id="rId1"/>
  <ignoredErrors>
    <ignoredError sqref="H10:H13 H17:H20 H24:H27 H31:H34 H38:H39 H9 H16 H23 H30 H37" unlockedFormula="1"/>
  </ignoredError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גיליון10">
    <pageSetUpPr fitToPage="1"/>
  </sheetPr>
  <dimension ref="A1:R44"/>
  <sheetViews>
    <sheetView rightToLeft="1" topLeftCell="D1" zoomScaleNormal="100" workbookViewId="0">
      <selection activeCell="V5" sqref="V5"/>
    </sheetView>
  </sheetViews>
  <sheetFormatPr defaultColWidth="9.140625" defaultRowHeight="12.75" x14ac:dyDescent="0.2"/>
  <cols>
    <col min="1" max="3" width="3.42578125" style="1" hidden="1" customWidth="1"/>
    <col min="4" max="4" width="2.85546875" style="1" customWidth="1"/>
    <col min="5" max="5" width="12.28515625" style="1" customWidth="1"/>
    <col min="6" max="6" width="9.28515625" style="1" customWidth="1"/>
    <col min="7" max="7" width="7.42578125" style="1" customWidth="1"/>
    <col min="8" max="8" width="11.140625" style="1" customWidth="1"/>
    <col min="9" max="12" width="8.7109375" style="1" customWidth="1"/>
    <col min="13" max="13" width="11.7109375" style="1" customWidth="1"/>
    <col min="14" max="14" width="19.42578125" style="1" customWidth="1"/>
    <col min="15" max="15" width="2.28515625" style="1" hidden="1" customWidth="1"/>
    <col min="16" max="16" width="2.42578125" style="1" hidden="1" customWidth="1"/>
    <col min="17" max="17" width="8.28515625" style="1" hidden="1" customWidth="1"/>
    <col min="18" max="18" width="2.5703125" style="1" hidden="1" customWidth="1"/>
    <col min="19" max="19" width="0" style="1" hidden="1" customWidth="1"/>
    <col min="20" max="16384" width="9.140625" style="1"/>
  </cols>
  <sheetData>
    <row r="1" spans="1:18" ht="15.95" customHeight="1" x14ac:dyDescent="0.2"/>
    <row r="2" spans="1:18" ht="15.95" customHeight="1" x14ac:dyDescent="0.2"/>
    <row r="3" spans="1:18" s="2" customFormat="1" ht="21.95" customHeight="1" x14ac:dyDescent="0.2">
      <c r="E3" s="3" t="s">
        <v>0</v>
      </c>
      <c r="F3" s="4">
        <v>2021</v>
      </c>
      <c r="H3" s="3" t="s">
        <v>1</v>
      </c>
      <c r="I3" s="150"/>
      <c r="J3" s="151"/>
      <c r="K3" s="152"/>
    </row>
    <row r="4" spans="1:18" s="2" customFormat="1" ht="21.95" customHeight="1" x14ac:dyDescent="0.2">
      <c r="E4" s="3" t="s">
        <v>2</v>
      </c>
      <c r="F4" s="4">
        <v>9</v>
      </c>
      <c r="H4" s="3" t="s">
        <v>3</v>
      </c>
      <c r="I4" s="150"/>
      <c r="J4" s="151"/>
      <c r="K4" s="152"/>
    </row>
    <row r="5" spans="1:18" s="2" customFormat="1" ht="21.95" customHeight="1" x14ac:dyDescent="0.2">
      <c r="E5" s="5" t="s">
        <v>4</v>
      </c>
      <c r="F5" s="4"/>
      <c r="H5" s="6"/>
      <c r="I5" s="7"/>
      <c r="J5" s="7"/>
      <c r="K5" s="7"/>
    </row>
    <row r="6" spans="1:18" ht="18" customHeight="1" x14ac:dyDescent="0.2"/>
    <row r="7" spans="1:18" ht="18" customHeight="1" x14ac:dyDescent="0.2">
      <c r="G7" s="153" t="s">
        <v>5</v>
      </c>
      <c r="H7" s="153"/>
      <c r="I7" s="153"/>
      <c r="J7" s="153" t="s">
        <v>6</v>
      </c>
      <c r="K7" s="153"/>
      <c r="L7" s="153"/>
    </row>
    <row r="8" spans="1:18" ht="34.5" x14ac:dyDescent="0.2">
      <c r="E8" s="8" t="s">
        <v>7</v>
      </c>
      <c r="F8" s="8" t="s">
        <v>8</v>
      </c>
      <c r="G8" s="8" t="s">
        <v>9</v>
      </c>
      <c r="H8" s="8" t="s">
        <v>10</v>
      </c>
      <c r="I8" s="8" t="s">
        <v>11</v>
      </c>
      <c r="J8" s="8" t="s">
        <v>9</v>
      </c>
      <c r="K8" s="8" t="s">
        <v>10</v>
      </c>
      <c r="L8" s="8" t="s">
        <v>11</v>
      </c>
      <c r="M8" s="8" t="s">
        <v>12</v>
      </c>
      <c r="N8" s="8" t="s">
        <v>13</v>
      </c>
      <c r="Q8" s="9" t="s">
        <v>8</v>
      </c>
      <c r="R8" s="10"/>
    </row>
    <row r="9" spans="1:18" ht="18" customHeight="1" x14ac:dyDescent="0.2">
      <c r="A9" s="11"/>
      <c r="B9" s="11">
        <v>1</v>
      </c>
      <c r="C9" s="11"/>
      <c r="E9" s="12">
        <f>DATE($F$3,$F$4,B9)</f>
        <v>44440</v>
      </c>
      <c r="F9" s="13" t="str">
        <f>VLOOKUP(MOD(E9,7),$P$9:Q15,2)</f>
        <v>רביעי</v>
      </c>
      <c r="G9" s="14">
        <f ca="1">IFERROR(VLOOKUP(E9,'דוח ביצוע'!B:D,3,0),0)</f>
        <v>0</v>
      </c>
      <c r="H9" s="14">
        <f ca="1">IFERROR(VLOOKUP(E9,'דוח ביצוע'!B:E,4,0),0)</f>
        <v>0</v>
      </c>
      <c r="I9" s="15">
        <f ca="1">IFERROR(24*(H9-G9),"")</f>
        <v>0</v>
      </c>
      <c r="J9" s="14" t="str">
        <f ca="1">IFERROR(VLOOKUP(E9,'דוח ביצוע'!$B$3:$G$36,6,0),"")</f>
        <v/>
      </c>
      <c r="K9" s="14" t="str">
        <f ca="1">IFERROR(VLOOKUP(E9,'דוח ביצוע'!$B$3:$H$36,7,0),"")</f>
        <v/>
      </c>
      <c r="L9" s="15">
        <f ca="1">IFERROR(24*(K9-J9),0)</f>
        <v>0</v>
      </c>
      <c r="M9" s="16"/>
      <c r="N9" s="17"/>
      <c r="P9" s="1">
        <v>0</v>
      </c>
      <c r="Q9" s="1" t="s">
        <v>14</v>
      </c>
      <c r="R9" s="18" t="s">
        <v>15</v>
      </c>
    </row>
    <row r="10" spans="1:18" ht="18" customHeight="1" x14ac:dyDescent="0.2">
      <c r="A10" s="11"/>
      <c r="B10" s="11">
        <v>2</v>
      </c>
      <c r="C10" s="11"/>
      <c r="E10" s="12">
        <f t="shared" ref="E10:E36" si="0">DATE($F$3,$F$4,B10)</f>
        <v>44441</v>
      </c>
      <c r="F10" s="13" t="str">
        <f>VLOOKUP(MOD(E10,7),$P$9:Q16,2)</f>
        <v>חמישי</v>
      </c>
      <c r="G10" s="14">
        <f ca="1">IFERROR(VLOOKUP(E10,'דוח ביצוע'!B:D,3,0),0)</f>
        <v>0</v>
      </c>
      <c r="H10" s="14">
        <f ca="1">IFERROR(VLOOKUP(E10,'דוח ביצוע'!B:E,4,0),0)</f>
        <v>0</v>
      </c>
      <c r="I10" s="15">
        <f t="shared" ref="I10:I38" ca="1" si="1">IFERROR(24*(H10-G10),"")</f>
        <v>0</v>
      </c>
      <c r="J10" s="14" t="str">
        <f ca="1">IFERROR(VLOOKUP(E10,'דוח ביצוע'!$B$3:$G$36,6,0),"")</f>
        <v/>
      </c>
      <c r="K10" s="14" t="str">
        <f ca="1">IFERROR(VLOOKUP(E10,'דוח ביצוע'!$B$3:$H$36,7,0),"")</f>
        <v/>
      </c>
      <c r="L10" s="15">
        <f t="shared" ref="L10:L38" ca="1" si="2">IFERROR(24*(K10-J10),0)</f>
        <v>0</v>
      </c>
      <c r="M10" s="16"/>
      <c r="N10" s="17"/>
      <c r="P10" s="1">
        <v>1</v>
      </c>
      <c r="Q10" s="1" t="s">
        <v>16</v>
      </c>
    </row>
    <row r="11" spans="1:18" ht="18" customHeight="1" x14ac:dyDescent="0.2">
      <c r="A11" s="11"/>
      <c r="B11" s="11">
        <v>3</v>
      </c>
      <c r="C11" s="11"/>
      <c r="E11" s="12">
        <f t="shared" si="0"/>
        <v>44442</v>
      </c>
      <c r="F11" s="13" t="str">
        <f>VLOOKUP(MOD(E11,7),$P$9:Q17,2)</f>
        <v>שישי</v>
      </c>
      <c r="G11" s="14"/>
      <c r="H11" s="14"/>
      <c r="I11" s="15">
        <f t="shared" si="1"/>
        <v>0</v>
      </c>
      <c r="J11" s="14" t="str">
        <f ca="1">IFERROR(VLOOKUP(E11,'דוח ביצוע'!$B$3:$G$36,6,0),"")</f>
        <v/>
      </c>
      <c r="K11" s="14" t="str">
        <f ca="1">IFERROR(VLOOKUP(E11,'דוח ביצוע'!$B$3:$H$36,7,0),"")</f>
        <v/>
      </c>
      <c r="L11" s="15">
        <f t="shared" ca="1" si="2"/>
        <v>0</v>
      </c>
      <c r="M11" s="16"/>
      <c r="N11" s="17"/>
      <c r="P11" s="1">
        <v>2</v>
      </c>
      <c r="Q11" s="1" t="s">
        <v>17</v>
      </c>
    </row>
    <row r="12" spans="1:18" ht="18" customHeight="1" x14ac:dyDescent="0.2">
      <c r="A12" s="11"/>
      <c r="B12" s="11">
        <v>4</v>
      </c>
      <c r="C12" s="11"/>
      <c r="E12" s="12">
        <f t="shared" si="0"/>
        <v>44443</v>
      </c>
      <c r="F12" s="13" t="str">
        <f>VLOOKUP(MOD(E12,7),$P$9:Q18,2)</f>
        <v>שבת</v>
      </c>
      <c r="G12" s="14"/>
      <c r="H12" s="14"/>
      <c r="I12" s="15">
        <f t="shared" si="1"/>
        <v>0</v>
      </c>
      <c r="J12" s="14" t="str">
        <f ca="1">IFERROR(VLOOKUP(E12,'דוח ביצוע'!$B$3:$G$36,6,0),"")</f>
        <v/>
      </c>
      <c r="K12" s="14" t="str">
        <f ca="1">IFERROR(VLOOKUP(E12,'דוח ביצוע'!$B$3:$H$36,7,0),"")</f>
        <v/>
      </c>
      <c r="L12" s="15">
        <f t="shared" ca="1" si="2"/>
        <v>0</v>
      </c>
      <c r="M12" s="16"/>
      <c r="N12" s="17"/>
      <c r="P12" s="1">
        <v>3</v>
      </c>
      <c r="Q12" s="1" t="s">
        <v>18</v>
      </c>
    </row>
    <row r="13" spans="1:18" ht="18" customHeight="1" x14ac:dyDescent="0.2">
      <c r="A13" s="11"/>
      <c r="B13" s="11">
        <v>5</v>
      </c>
      <c r="C13" s="11"/>
      <c r="E13" s="12">
        <f t="shared" si="0"/>
        <v>44444</v>
      </c>
      <c r="F13" s="13" t="str">
        <f>VLOOKUP(MOD(E13,7),$P$9:Q19,2)</f>
        <v>ראשון</v>
      </c>
      <c r="G13" s="14">
        <f ca="1">IFERROR(VLOOKUP(E13,'דוח ביצוע'!B:D,3,0),0)</f>
        <v>0</v>
      </c>
      <c r="H13" s="14">
        <f ca="1">IFERROR(VLOOKUP(E13,'דוח ביצוע'!B:E,4,0),0)</f>
        <v>0</v>
      </c>
      <c r="I13" s="15">
        <f t="shared" ca="1" si="1"/>
        <v>0</v>
      </c>
      <c r="J13" s="14" t="str">
        <f ca="1">IFERROR(VLOOKUP(E13,'דוח ביצוע'!$B$3:$G$36,6,0),"")</f>
        <v/>
      </c>
      <c r="K13" s="14" t="str">
        <f ca="1">IFERROR(VLOOKUP(E13,'דוח ביצוע'!$B$3:$H$36,7,0),"")</f>
        <v/>
      </c>
      <c r="L13" s="15">
        <f t="shared" ca="1" si="2"/>
        <v>0</v>
      </c>
      <c r="M13" s="16"/>
      <c r="N13" s="17"/>
      <c r="P13" s="1">
        <v>4</v>
      </c>
      <c r="Q13" s="1" t="s">
        <v>19</v>
      </c>
    </row>
    <row r="14" spans="1:18" ht="18" customHeight="1" x14ac:dyDescent="0.2">
      <c r="A14" s="11"/>
      <c r="B14" s="11">
        <v>6</v>
      </c>
      <c r="C14" s="11"/>
      <c r="E14" s="12">
        <f t="shared" si="0"/>
        <v>44445</v>
      </c>
      <c r="F14" s="13" t="str">
        <f>VLOOKUP(MOD(E14,7),$P$9:Q20,2)</f>
        <v>שני</v>
      </c>
      <c r="G14" s="14">
        <f ca="1">IFERROR(VLOOKUP(E14,'דוח ביצוע'!B:D,3,0),0)</f>
        <v>0</v>
      </c>
      <c r="H14" s="14">
        <f ca="1">IFERROR(VLOOKUP(E14,'דוח ביצוע'!B:E,4,0),0)</f>
        <v>0</v>
      </c>
      <c r="I14" s="15">
        <f t="shared" ca="1" si="1"/>
        <v>0</v>
      </c>
      <c r="J14" s="14" t="str">
        <f ca="1">IFERROR(VLOOKUP(E14,'דוח ביצוע'!$B$3:$G$36,6,0),"")</f>
        <v/>
      </c>
      <c r="K14" s="14" t="str">
        <f ca="1">IFERROR(VLOOKUP(E14,'דוח ביצוע'!$B$3:$H$36,7,0),"")</f>
        <v/>
      </c>
      <c r="L14" s="15">
        <f t="shared" ca="1" si="2"/>
        <v>0</v>
      </c>
      <c r="M14" s="16"/>
      <c r="N14" s="17"/>
      <c r="P14" s="1">
        <v>5</v>
      </c>
      <c r="Q14" s="1" t="s">
        <v>20</v>
      </c>
    </row>
    <row r="15" spans="1:18" ht="18" customHeight="1" x14ac:dyDescent="0.2">
      <c r="A15" s="11"/>
      <c r="B15" s="11">
        <v>7</v>
      </c>
      <c r="C15" s="11"/>
      <c r="E15" s="12">
        <f t="shared" si="0"/>
        <v>44446</v>
      </c>
      <c r="F15" s="13" t="str">
        <f>VLOOKUP(MOD(E15,7),$P$9:Q21,2)</f>
        <v>שלישי</v>
      </c>
      <c r="G15" s="14">
        <f ca="1">IFERROR(VLOOKUP(E15,'דוח ביצוע'!B:D,3,0),0)</f>
        <v>0</v>
      </c>
      <c r="H15" s="14">
        <f ca="1">IFERROR(VLOOKUP(E15,'דוח ביצוע'!B:E,4,0),0)</f>
        <v>0</v>
      </c>
      <c r="I15" s="15">
        <f t="shared" ca="1" si="1"/>
        <v>0</v>
      </c>
      <c r="J15" s="14" t="str">
        <f ca="1">IFERROR(VLOOKUP(E15,'דוח ביצוע'!$B$3:$G$36,6,0),"")</f>
        <v/>
      </c>
      <c r="K15" s="14" t="str">
        <f ca="1">IFERROR(VLOOKUP(E15,'דוח ביצוע'!$B$3:$H$36,7,0),"")</f>
        <v/>
      </c>
      <c r="L15" s="15">
        <f t="shared" ca="1" si="2"/>
        <v>0</v>
      </c>
      <c r="M15" s="16"/>
      <c r="N15" s="17"/>
      <c r="P15" s="1">
        <v>6</v>
      </c>
      <c r="Q15" s="1" t="s">
        <v>21</v>
      </c>
    </row>
    <row r="16" spans="1:18" ht="18" customHeight="1" x14ac:dyDescent="0.2">
      <c r="A16" s="11"/>
      <c r="B16" s="11">
        <v>8</v>
      </c>
      <c r="C16" s="11"/>
      <c r="E16" s="12">
        <f t="shared" si="0"/>
        <v>44447</v>
      </c>
      <c r="F16" s="13" t="str">
        <f>VLOOKUP(MOD(E16,7),$P$9:Q22,2)</f>
        <v>רביעי</v>
      </c>
      <c r="G16" s="14">
        <f ca="1">IFERROR(VLOOKUP(E16,'דוח ביצוע'!B:D,3,0),0)</f>
        <v>0</v>
      </c>
      <c r="H16" s="14">
        <f ca="1">IFERROR(VLOOKUP(E16,'דוח ביצוע'!B:E,4,0),0)</f>
        <v>0</v>
      </c>
      <c r="I16" s="15">
        <f t="shared" ca="1" si="1"/>
        <v>0</v>
      </c>
      <c r="J16" s="14" t="str">
        <f ca="1">IFERROR(VLOOKUP(E16,'דוח ביצוע'!$B$3:$G$36,6,0),"")</f>
        <v/>
      </c>
      <c r="K16" s="14" t="str">
        <f ca="1">IFERROR(VLOOKUP(E16,'דוח ביצוע'!$B$3:$H$36,7,0),"")</f>
        <v/>
      </c>
      <c r="L16" s="15">
        <f t="shared" ca="1" si="2"/>
        <v>0</v>
      </c>
      <c r="M16" s="16"/>
      <c r="N16" s="17"/>
    </row>
    <row r="17" spans="1:14" ht="18" customHeight="1" x14ac:dyDescent="0.2">
      <c r="A17" s="11"/>
      <c r="B17" s="11">
        <v>9</v>
      </c>
      <c r="C17" s="11"/>
      <c r="E17" s="12">
        <f t="shared" si="0"/>
        <v>44448</v>
      </c>
      <c r="F17" s="13" t="str">
        <f>VLOOKUP(MOD(E17,7),$P$9:Q23,2)</f>
        <v>חמישי</v>
      </c>
      <c r="G17" s="14">
        <f ca="1">IFERROR(VLOOKUP(E17,'דוח ביצוע'!B:D,3,0),0)</f>
        <v>0</v>
      </c>
      <c r="H17" s="14">
        <f ca="1">IFERROR(VLOOKUP(E17,'דוח ביצוע'!B:E,4,0),0)</f>
        <v>0</v>
      </c>
      <c r="I17" s="15">
        <f t="shared" ca="1" si="1"/>
        <v>0</v>
      </c>
      <c r="J17" s="14" t="str">
        <f ca="1">IFERROR(VLOOKUP(E17,'דוח ביצוע'!$B$3:$G$36,6,0),"")</f>
        <v/>
      </c>
      <c r="K17" s="14" t="str">
        <f ca="1">IFERROR(VLOOKUP(E17,'דוח ביצוע'!$B$3:$H$36,7,0),"")</f>
        <v/>
      </c>
      <c r="L17" s="15">
        <f t="shared" ca="1" si="2"/>
        <v>0</v>
      </c>
      <c r="M17" s="16"/>
      <c r="N17" s="17"/>
    </row>
    <row r="18" spans="1:14" ht="18" customHeight="1" x14ac:dyDescent="0.2">
      <c r="A18" s="11"/>
      <c r="B18" s="11">
        <v>10</v>
      </c>
      <c r="C18" s="11"/>
      <c r="E18" s="12">
        <f t="shared" si="0"/>
        <v>44449</v>
      </c>
      <c r="F18" s="13" t="str">
        <f>VLOOKUP(MOD(E18,7),$P$9:Q24,2)</f>
        <v>שישי</v>
      </c>
      <c r="G18" s="14"/>
      <c r="H18" s="14"/>
      <c r="I18" s="15">
        <f t="shared" si="1"/>
        <v>0</v>
      </c>
      <c r="J18" s="14" t="str">
        <f ca="1">IFERROR(VLOOKUP(E18,'דוח ביצוע'!$B$3:$G$36,6,0),"")</f>
        <v/>
      </c>
      <c r="K18" s="14" t="str">
        <f ca="1">IFERROR(VLOOKUP(E18,'דוח ביצוע'!$B$3:$H$36,7,0),"")</f>
        <v/>
      </c>
      <c r="L18" s="15">
        <f t="shared" ca="1" si="2"/>
        <v>0</v>
      </c>
      <c r="M18" s="16"/>
      <c r="N18" s="17"/>
    </row>
    <row r="19" spans="1:14" ht="18" customHeight="1" x14ac:dyDescent="0.2">
      <c r="A19" s="11"/>
      <c r="B19" s="11">
        <v>11</v>
      </c>
      <c r="C19" s="11"/>
      <c r="E19" s="12">
        <f t="shared" si="0"/>
        <v>44450</v>
      </c>
      <c r="F19" s="13" t="str">
        <f>VLOOKUP(MOD(E19,7),$P$9:Q25,2)</f>
        <v>שבת</v>
      </c>
      <c r="G19" s="14"/>
      <c r="H19" s="14"/>
      <c r="I19" s="15">
        <f t="shared" si="1"/>
        <v>0</v>
      </c>
      <c r="J19" s="14" t="str">
        <f ca="1">IFERROR(VLOOKUP(E19,'דוח ביצוע'!$B$3:$G$36,6,0),"")</f>
        <v/>
      </c>
      <c r="K19" s="14" t="str">
        <f ca="1">IFERROR(VLOOKUP(E19,'דוח ביצוע'!$B$3:$H$36,7,0),"")</f>
        <v/>
      </c>
      <c r="L19" s="15">
        <f t="shared" ca="1" si="2"/>
        <v>0</v>
      </c>
      <c r="M19" s="16"/>
      <c r="N19" s="17"/>
    </row>
    <row r="20" spans="1:14" ht="18" customHeight="1" x14ac:dyDescent="0.2">
      <c r="A20" s="11"/>
      <c r="B20" s="11">
        <v>12</v>
      </c>
      <c r="C20" s="11"/>
      <c r="E20" s="12">
        <f t="shared" si="0"/>
        <v>44451</v>
      </c>
      <c r="F20" s="13" t="str">
        <f>VLOOKUP(MOD(E20,7),$P$9:Q26,2)</f>
        <v>ראשון</v>
      </c>
      <c r="G20" s="14">
        <f ca="1">IFERROR(VLOOKUP(E20,'דוח ביצוע'!B:D,3,0),0)</f>
        <v>0</v>
      </c>
      <c r="H20" s="14">
        <f ca="1">IFERROR(VLOOKUP(E20,'דוח ביצוע'!B:E,4,0),0)</f>
        <v>0</v>
      </c>
      <c r="I20" s="15">
        <f t="shared" ca="1" si="1"/>
        <v>0</v>
      </c>
      <c r="J20" s="14" t="str">
        <f ca="1">IFERROR(VLOOKUP(E20,'דוח ביצוע'!$B$3:$G$36,6,0),"")</f>
        <v/>
      </c>
      <c r="K20" s="14" t="str">
        <f ca="1">IFERROR(VLOOKUP(E20,'דוח ביצוע'!$B$3:$H$36,7,0),"")</f>
        <v/>
      </c>
      <c r="L20" s="15">
        <f t="shared" ca="1" si="2"/>
        <v>0</v>
      </c>
      <c r="M20" s="16"/>
      <c r="N20" s="17"/>
    </row>
    <row r="21" spans="1:14" ht="18" customHeight="1" x14ac:dyDescent="0.2">
      <c r="A21" s="11"/>
      <c r="B21" s="11">
        <v>13</v>
      </c>
      <c r="C21" s="11"/>
      <c r="E21" s="12">
        <f t="shared" si="0"/>
        <v>44452</v>
      </c>
      <c r="F21" s="13" t="str">
        <f>VLOOKUP(MOD(E21,7),$P$9:Q27,2)</f>
        <v>שני</v>
      </c>
      <c r="G21" s="14">
        <f ca="1">IFERROR(VLOOKUP(E21,'דוח ביצוע'!B:D,3,0),0)</f>
        <v>0</v>
      </c>
      <c r="H21" s="14">
        <f ca="1">IFERROR(VLOOKUP(E21,'דוח ביצוע'!B:E,4,0),0)</f>
        <v>0</v>
      </c>
      <c r="I21" s="15">
        <f t="shared" ca="1" si="1"/>
        <v>0</v>
      </c>
      <c r="J21" s="14" t="str">
        <f ca="1">IFERROR(VLOOKUP(E21,'דוח ביצוע'!$B$3:$G$36,6,0),"")</f>
        <v/>
      </c>
      <c r="K21" s="14" t="str">
        <f ca="1">IFERROR(VLOOKUP(E21,'דוח ביצוע'!$B$3:$H$36,7,0),"")</f>
        <v/>
      </c>
      <c r="L21" s="15">
        <f t="shared" ca="1" si="2"/>
        <v>0</v>
      </c>
      <c r="M21" s="16"/>
      <c r="N21" s="17"/>
    </row>
    <row r="22" spans="1:14" ht="18" customHeight="1" x14ac:dyDescent="0.2">
      <c r="A22" s="11"/>
      <c r="B22" s="11">
        <v>14</v>
      </c>
      <c r="C22" s="11"/>
      <c r="E22" s="12">
        <f t="shared" si="0"/>
        <v>44453</v>
      </c>
      <c r="F22" s="13" t="str">
        <f>VLOOKUP(MOD(E22,7),$P$9:Q28,2)</f>
        <v>שלישי</v>
      </c>
      <c r="G22" s="14">
        <f ca="1">IFERROR(VLOOKUP(E22,'דוח ביצוע'!B:D,3,0),0)</f>
        <v>0</v>
      </c>
      <c r="H22" s="14">
        <f ca="1">IFERROR(VLOOKUP(E22,'דוח ביצוע'!B:E,4,0),0)</f>
        <v>0</v>
      </c>
      <c r="I22" s="15">
        <f t="shared" ca="1" si="1"/>
        <v>0</v>
      </c>
      <c r="J22" s="14" t="str">
        <f ca="1">IFERROR(VLOOKUP(E22,'דוח ביצוע'!$B$3:$G$36,6,0),"")</f>
        <v/>
      </c>
      <c r="K22" s="14" t="str">
        <f ca="1">IFERROR(VLOOKUP(E22,'דוח ביצוע'!$B$3:$H$36,7,0),"")</f>
        <v/>
      </c>
      <c r="L22" s="15">
        <f t="shared" ca="1" si="2"/>
        <v>0</v>
      </c>
      <c r="M22" s="16"/>
      <c r="N22" s="17"/>
    </row>
    <row r="23" spans="1:14" ht="18" customHeight="1" x14ac:dyDescent="0.2">
      <c r="A23" s="11"/>
      <c r="B23" s="11">
        <v>15</v>
      </c>
      <c r="C23" s="11"/>
      <c r="E23" s="12">
        <f t="shared" si="0"/>
        <v>44454</v>
      </c>
      <c r="F23" s="13" t="str">
        <f>VLOOKUP(MOD(E23,7),$P$9:Q29,2)</f>
        <v>רביעי</v>
      </c>
      <c r="G23" s="14">
        <f ca="1">IFERROR(VLOOKUP(E23,'דוח ביצוע'!B:D,3,0),0)</f>
        <v>0</v>
      </c>
      <c r="H23" s="14">
        <f ca="1">IFERROR(VLOOKUP(E23,'דוח ביצוע'!B:E,4,0),0)</f>
        <v>0</v>
      </c>
      <c r="I23" s="15">
        <f t="shared" ca="1" si="1"/>
        <v>0</v>
      </c>
      <c r="J23" s="14" t="str">
        <f ca="1">IFERROR(VLOOKUP(E23,'דוח ביצוע'!$B$3:$G$36,6,0),"")</f>
        <v/>
      </c>
      <c r="K23" s="14" t="str">
        <f ca="1">IFERROR(VLOOKUP(E23,'דוח ביצוע'!$B$3:$H$36,7,0),"")</f>
        <v/>
      </c>
      <c r="L23" s="15">
        <f t="shared" ca="1" si="2"/>
        <v>0</v>
      </c>
      <c r="M23" s="16"/>
      <c r="N23" s="17"/>
    </row>
    <row r="24" spans="1:14" ht="18" customHeight="1" x14ac:dyDescent="0.2">
      <c r="A24" s="11"/>
      <c r="B24" s="11">
        <v>16</v>
      </c>
      <c r="C24" s="11"/>
      <c r="E24" s="12">
        <f t="shared" si="0"/>
        <v>44455</v>
      </c>
      <c r="F24" s="13" t="str">
        <f>VLOOKUP(MOD(E24,7),$P$9:Q30,2)</f>
        <v>חמישי</v>
      </c>
      <c r="G24" s="14">
        <f ca="1">IFERROR(VLOOKUP(E24,'דוח ביצוע'!B:D,3,0),0)</f>
        <v>0</v>
      </c>
      <c r="H24" s="14">
        <f ca="1">IFERROR(VLOOKUP(E24,'דוח ביצוע'!B:E,4,0),0)</f>
        <v>0</v>
      </c>
      <c r="I24" s="15">
        <f t="shared" ca="1" si="1"/>
        <v>0</v>
      </c>
      <c r="J24" s="14" t="str">
        <f ca="1">IFERROR(VLOOKUP(E24,'דוח ביצוע'!$B$3:$G$36,6,0),"")</f>
        <v/>
      </c>
      <c r="K24" s="14" t="str">
        <f ca="1">IFERROR(VLOOKUP(E24,'דוח ביצוע'!$B$3:$H$36,7,0),"")</f>
        <v/>
      </c>
      <c r="L24" s="15">
        <f t="shared" ca="1" si="2"/>
        <v>0</v>
      </c>
      <c r="M24" s="16"/>
      <c r="N24" s="17"/>
    </row>
    <row r="25" spans="1:14" ht="18" customHeight="1" x14ac:dyDescent="0.2">
      <c r="A25" s="11"/>
      <c r="B25" s="11">
        <v>17</v>
      </c>
      <c r="C25" s="11"/>
      <c r="E25" s="12">
        <f t="shared" si="0"/>
        <v>44456</v>
      </c>
      <c r="F25" s="13" t="str">
        <f>VLOOKUP(MOD(E25,7),$P$9:Q31,2)</f>
        <v>שישי</v>
      </c>
      <c r="G25" s="14"/>
      <c r="H25" s="14"/>
      <c r="I25" s="15">
        <f t="shared" si="1"/>
        <v>0</v>
      </c>
      <c r="J25" s="14" t="str">
        <f ca="1">IFERROR(VLOOKUP(E25,'דוח ביצוע'!$B$3:$G$36,6,0),"")</f>
        <v/>
      </c>
      <c r="K25" s="14" t="str">
        <f ca="1">IFERROR(VLOOKUP(E25,'דוח ביצוע'!$B$3:$H$36,7,0),"")</f>
        <v/>
      </c>
      <c r="L25" s="15">
        <f t="shared" ca="1" si="2"/>
        <v>0</v>
      </c>
      <c r="M25" s="16"/>
      <c r="N25" s="17"/>
    </row>
    <row r="26" spans="1:14" ht="18" customHeight="1" x14ac:dyDescent="0.2">
      <c r="A26" s="11"/>
      <c r="B26" s="11">
        <v>18</v>
      </c>
      <c r="C26" s="11"/>
      <c r="E26" s="12">
        <f t="shared" si="0"/>
        <v>44457</v>
      </c>
      <c r="F26" s="13" t="str">
        <f>VLOOKUP(MOD(E26,7),$P$9:Q32,2)</f>
        <v>שבת</v>
      </c>
      <c r="G26" s="14"/>
      <c r="H26" s="14"/>
      <c r="I26" s="15">
        <f t="shared" si="1"/>
        <v>0</v>
      </c>
      <c r="J26" s="14" t="str">
        <f ca="1">IFERROR(VLOOKUP(E26,'דוח ביצוע'!$B$3:$G$36,6,0),"")</f>
        <v/>
      </c>
      <c r="K26" s="14" t="str">
        <f ca="1">IFERROR(VLOOKUP(E26,'דוח ביצוע'!$B$3:$H$36,7,0),"")</f>
        <v/>
      </c>
      <c r="L26" s="15">
        <f t="shared" ca="1" si="2"/>
        <v>0</v>
      </c>
      <c r="M26" s="16"/>
      <c r="N26" s="17"/>
    </row>
    <row r="27" spans="1:14" ht="18" customHeight="1" x14ac:dyDescent="0.2">
      <c r="A27" s="11"/>
      <c r="B27" s="11">
        <v>19</v>
      </c>
      <c r="C27" s="11"/>
      <c r="E27" s="12">
        <f t="shared" si="0"/>
        <v>44458</v>
      </c>
      <c r="F27" s="13" t="str">
        <f>VLOOKUP(MOD(E27,7),$P$9:Q33,2)</f>
        <v>ראשון</v>
      </c>
      <c r="G27" s="14">
        <f ca="1">IFERROR(VLOOKUP(E27,'דוח ביצוע'!B:D,3,0),0)</f>
        <v>0</v>
      </c>
      <c r="H27" s="14">
        <f ca="1">IFERROR(VLOOKUP(E27,'דוח ביצוע'!B:E,4,0),0)</f>
        <v>0</v>
      </c>
      <c r="I27" s="15">
        <f t="shared" ca="1" si="1"/>
        <v>0</v>
      </c>
      <c r="J27" s="14" t="str">
        <f ca="1">IFERROR(VLOOKUP(E27,'דוח ביצוע'!$B$3:$G$36,6,0),"")</f>
        <v/>
      </c>
      <c r="K27" s="14" t="str">
        <f ca="1">IFERROR(VLOOKUP(E27,'דוח ביצוע'!$B$3:$H$36,7,0),"")</f>
        <v/>
      </c>
      <c r="L27" s="15">
        <f t="shared" ca="1" si="2"/>
        <v>0</v>
      </c>
      <c r="M27" s="16"/>
      <c r="N27" s="17"/>
    </row>
    <row r="28" spans="1:14" ht="18" customHeight="1" x14ac:dyDescent="0.2">
      <c r="A28" s="11"/>
      <c r="B28" s="11">
        <v>20</v>
      </c>
      <c r="C28" s="11"/>
      <c r="E28" s="12">
        <f t="shared" si="0"/>
        <v>44459</v>
      </c>
      <c r="F28" s="13" t="str">
        <f>VLOOKUP(MOD(E28,7),$P$9:Q34,2)</f>
        <v>שני</v>
      </c>
      <c r="G28" s="14">
        <f ca="1">IFERROR(VLOOKUP(E28,'דוח ביצוע'!B:D,3,0),0)</f>
        <v>0</v>
      </c>
      <c r="H28" s="14">
        <f ca="1">IFERROR(VLOOKUP(E28,'דוח ביצוע'!B:E,4,0),0)</f>
        <v>0</v>
      </c>
      <c r="I28" s="15">
        <f t="shared" ca="1" si="1"/>
        <v>0</v>
      </c>
      <c r="J28" s="14" t="str">
        <f ca="1">IFERROR(VLOOKUP(E28,'דוח ביצוע'!$B$3:$G$36,6,0),"")</f>
        <v/>
      </c>
      <c r="K28" s="14" t="str">
        <f ca="1">IFERROR(VLOOKUP(E28,'דוח ביצוע'!$B$3:$H$36,7,0),"")</f>
        <v/>
      </c>
      <c r="L28" s="15">
        <f t="shared" ca="1" si="2"/>
        <v>0</v>
      </c>
      <c r="M28" s="16"/>
      <c r="N28" s="17"/>
    </row>
    <row r="29" spans="1:14" ht="18" customHeight="1" x14ac:dyDescent="0.2">
      <c r="A29" s="11"/>
      <c r="B29" s="11">
        <v>21</v>
      </c>
      <c r="C29" s="11"/>
      <c r="E29" s="12">
        <f t="shared" si="0"/>
        <v>44460</v>
      </c>
      <c r="F29" s="13" t="str">
        <f>VLOOKUP(MOD(E29,7),$P$9:Q35,2)</f>
        <v>שלישי</v>
      </c>
      <c r="G29" s="14">
        <f ca="1">IFERROR(VLOOKUP(E29,'דוח ביצוע'!B:D,3,0),0)</f>
        <v>0</v>
      </c>
      <c r="H29" s="14">
        <f ca="1">IFERROR(VLOOKUP(E29,'דוח ביצוע'!B:E,4,0),0)</f>
        <v>0</v>
      </c>
      <c r="I29" s="15">
        <f t="shared" ca="1" si="1"/>
        <v>0</v>
      </c>
      <c r="J29" s="14" t="str">
        <f ca="1">IFERROR(VLOOKUP(E29,'דוח ביצוע'!$B$3:$G$36,6,0),"")</f>
        <v/>
      </c>
      <c r="K29" s="14" t="str">
        <f ca="1">IFERROR(VLOOKUP(E29,'דוח ביצוע'!$B$3:$H$36,7,0),"")</f>
        <v/>
      </c>
      <c r="L29" s="15">
        <f t="shared" ca="1" si="2"/>
        <v>0</v>
      </c>
      <c r="M29" s="16"/>
      <c r="N29" s="17"/>
    </row>
    <row r="30" spans="1:14" ht="18" customHeight="1" x14ac:dyDescent="0.2">
      <c r="A30" s="11"/>
      <c r="B30" s="11">
        <v>22</v>
      </c>
      <c r="C30" s="11"/>
      <c r="E30" s="12">
        <f t="shared" si="0"/>
        <v>44461</v>
      </c>
      <c r="F30" s="13" t="str">
        <f>VLOOKUP(MOD(E30,7),$P$9:Q36,2)</f>
        <v>רביעי</v>
      </c>
      <c r="G30" s="14">
        <f ca="1">IFERROR(VLOOKUP(E30,'דוח ביצוע'!B:D,3,0),0)</f>
        <v>0</v>
      </c>
      <c r="H30" s="14">
        <f ca="1">IFERROR(VLOOKUP(E30,'דוח ביצוע'!B:E,4,0),0)</f>
        <v>0</v>
      </c>
      <c r="I30" s="15">
        <f t="shared" ca="1" si="1"/>
        <v>0</v>
      </c>
      <c r="J30" s="14" t="str">
        <f ca="1">IFERROR(VLOOKUP(E30,'דוח ביצוע'!$B$3:$G$36,6,0),"")</f>
        <v/>
      </c>
      <c r="K30" s="14" t="str">
        <f ca="1">IFERROR(VLOOKUP(E30,'דוח ביצוע'!$B$3:$H$36,7,0),"")</f>
        <v/>
      </c>
      <c r="L30" s="15">
        <f t="shared" ca="1" si="2"/>
        <v>0</v>
      </c>
      <c r="M30" s="16"/>
      <c r="N30" s="17"/>
    </row>
    <row r="31" spans="1:14" ht="18" customHeight="1" x14ac:dyDescent="0.2">
      <c r="A31" s="11"/>
      <c r="B31" s="11">
        <v>23</v>
      </c>
      <c r="C31" s="11"/>
      <c r="E31" s="12">
        <f t="shared" si="0"/>
        <v>44462</v>
      </c>
      <c r="F31" s="13" t="str">
        <f>VLOOKUP(MOD(E31,7),$P$9:Q37,2)</f>
        <v>חמישי</v>
      </c>
      <c r="G31" s="14">
        <f ca="1">IFERROR(VLOOKUP(E31,'דוח ביצוע'!B:D,3,0),0)</f>
        <v>0</v>
      </c>
      <c r="H31" s="14">
        <f ca="1">IFERROR(VLOOKUP(E31,'דוח ביצוע'!B:E,4,0),0)</f>
        <v>0</v>
      </c>
      <c r="I31" s="15">
        <f t="shared" ca="1" si="1"/>
        <v>0</v>
      </c>
      <c r="J31" s="14" t="str">
        <f ca="1">IFERROR(VLOOKUP(E31,'דוח ביצוע'!$B$3:$G$36,6,0),"")</f>
        <v/>
      </c>
      <c r="K31" s="14" t="str">
        <f ca="1">IFERROR(VLOOKUP(E31,'דוח ביצוע'!$B$3:$H$36,7,0),"")</f>
        <v/>
      </c>
      <c r="L31" s="15">
        <f t="shared" ca="1" si="2"/>
        <v>0</v>
      </c>
      <c r="M31" s="16"/>
      <c r="N31" s="17"/>
    </row>
    <row r="32" spans="1:14" ht="18" customHeight="1" x14ac:dyDescent="0.2">
      <c r="A32" s="11"/>
      <c r="B32" s="11">
        <v>24</v>
      </c>
      <c r="C32" s="11"/>
      <c r="E32" s="12">
        <f t="shared" si="0"/>
        <v>44463</v>
      </c>
      <c r="F32" s="13" t="str">
        <f>VLOOKUP(MOD(E32,7),$P$9:Q38,2)</f>
        <v>שישי</v>
      </c>
      <c r="G32" s="14"/>
      <c r="H32" s="14"/>
      <c r="I32" s="15">
        <f t="shared" si="1"/>
        <v>0</v>
      </c>
      <c r="J32" s="14" t="str">
        <f ca="1">IFERROR(VLOOKUP(E32,'דוח ביצוע'!$B$3:$G$36,6,0),"")</f>
        <v/>
      </c>
      <c r="K32" s="14" t="str">
        <f ca="1">IFERROR(VLOOKUP(E32,'דוח ביצוע'!$B$3:$H$36,7,0),"")</f>
        <v/>
      </c>
      <c r="L32" s="15">
        <f t="shared" ca="1" si="2"/>
        <v>0</v>
      </c>
      <c r="M32" s="16"/>
      <c r="N32" s="17"/>
    </row>
    <row r="33" spans="1:17" ht="18" customHeight="1" x14ac:dyDescent="0.2">
      <c r="A33" s="11"/>
      <c r="B33" s="11">
        <v>25</v>
      </c>
      <c r="C33" s="11"/>
      <c r="E33" s="12">
        <f t="shared" si="0"/>
        <v>44464</v>
      </c>
      <c r="F33" s="13" t="str">
        <f>VLOOKUP(MOD(E33,7),$P$9:Q38,2)</f>
        <v>שבת</v>
      </c>
      <c r="G33" s="14"/>
      <c r="H33" s="14"/>
      <c r="I33" s="15">
        <f t="shared" si="1"/>
        <v>0</v>
      </c>
      <c r="J33" s="14" t="str">
        <f ca="1">IFERROR(VLOOKUP(E33,'דוח ביצוע'!$B$3:$G$36,6,0),"")</f>
        <v/>
      </c>
      <c r="K33" s="14" t="str">
        <f ca="1">IFERROR(VLOOKUP(E33,'דוח ביצוע'!$B$3:$H$36,7,0),"")</f>
        <v/>
      </c>
      <c r="L33" s="15">
        <f t="shared" ca="1" si="2"/>
        <v>0</v>
      </c>
      <c r="M33" s="16"/>
      <c r="N33" s="17"/>
    </row>
    <row r="34" spans="1:17" ht="18" customHeight="1" x14ac:dyDescent="0.2">
      <c r="A34" s="11"/>
      <c r="B34" s="11">
        <v>26</v>
      </c>
      <c r="C34" s="11"/>
      <c r="E34" s="12">
        <f t="shared" si="0"/>
        <v>44465</v>
      </c>
      <c r="F34" s="13" t="str">
        <f>VLOOKUP(MOD(E34,7),$P$9:Q41,2)</f>
        <v>ראשון</v>
      </c>
      <c r="G34" s="14">
        <f ca="1">IFERROR(VLOOKUP(E34,'דוח ביצוע'!B:D,3,0),0)</f>
        <v>0</v>
      </c>
      <c r="H34" s="14">
        <f ca="1">IFERROR(VLOOKUP(E34,'דוח ביצוע'!B:E,4,0),0)</f>
        <v>0</v>
      </c>
      <c r="I34" s="15">
        <f t="shared" ca="1" si="1"/>
        <v>0</v>
      </c>
      <c r="J34" s="14" t="str">
        <f ca="1">IFERROR(VLOOKUP(E34,'דוח ביצוע'!$B$3:$G$36,6,0),"")</f>
        <v/>
      </c>
      <c r="K34" s="14" t="str">
        <f ca="1">IFERROR(VLOOKUP(E34,'דוח ביצוע'!$B$3:$H$36,7,0),"")</f>
        <v/>
      </c>
      <c r="L34" s="15">
        <f t="shared" ca="1" si="2"/>
        <v>0</v>
      </c>
      <c r="M34" s="16"/>
      <c r="N34" s="17"/>
    </row>
    <row r="35" spans="1:17" ht="18" customHeight="1" x14ac:dyDescent="0.2">
      <c r="A35" s="11"/>
      <c r="B35" s="11">
        <v>27</v>
      </c>
      <c r="C35" s="11"/>
      <c r="E35" s="12">
        <f t="shared" si="0"/>
        <v>44466</v>
      </c>
      <c r="F35" s="13" t="str">
        <f>VLOOKUP(MOD(E35,7),$P$9:Q41,2)</f>
        <v>שני</v>
      </c>
      <c r="G35" s="14">
        <f ca="1">IFERROR(VLOOKUP(E35,'דוח ביצוע'!B:D,3,0),0)</f>
        <v>0</v>
      </c>
      <c r="H35" s="14">
        <f ca="1">IFERROR(VLOOKUP(E35,'דוח ביצוע'!B:E,4,0),0)</f>
        <v>0</v>
      </c>
      <c r="I35" s="15">
        <f t="shared" ca="1" si="1"/>
        <v>0</v>
      </c>
      <c r="J35" s="14" t="str">
        <f ca="1">IFERROR(VLOOKUP(E35,'דוח ביצוע'!$B$3:$G$36,6,0),"")</f>
        <v/>
      </c>
      <c r="K35" s="14" t="str">
        <f ca="1">IFERROR(VLOOKUP(E35,'דוח ביצוע'!$B$3:$H$36,7,0),"")</f>
        <v/>
      </c>
      <c r="L35" s="15">
        <f t="shared" ca="1" si="2"/>
        <v>0</v>
      </c>
      <c r="M35" s="16"/>
      <c r="N35" s="17"/>
    </row>
    <row r="36" spans="1:17" ht="18" customHeight="1" x14ac:dyDescent="0.2">
      <c r="A36" s="11"/>
      <c r="B36" s="11">
        <v>28</v>
      </c>
      <c r="C36" s="11"/>
      <c r="E36" s="12">
        <f t="shared" si="0"/>
        <v>44467</v>
      </c>
      <c r="F36" s="13" t="str">
        <f>VLOOKUP(MOD(E36,7),$P$9:Q41,2)</f>
        <v>שלישי</v>
      </c>
      <c r="G36" s="14">
        <f ca="1">IFERROR(VLOOKUP(E36,'דוח ביצוע'!B:D,3,0),0)</f>
        <v>0</v>
      </c>
      <c r="H36" s="14">
        <f ca="1">IFERROR(VLOOKUP(E36,'דוח ביצוע'!B:E,4,0),0)</f>
        <v>0</v>
      </c>
      <c r="I36" s="15">
        <f t="shared" ca="1" si="1"/>
        <v>0</v>
      </c>
      <c r="J36" s="14" t="str">
        <f ca="1">IFERROR(VLOOKUP(E36,'דוח ביצוע'!$B$3:$G$36,6,0),"")</f>
        <v/>
      </c>
      <c r="K36" s="14" t="str">
        <f ca="1">IFERROR(VLOOKUP(E36,'דוח ביצוע'!$B$3:$H$36,7,0),"")</f>
        <v/>
      </c>
      <c r="L36" s="15">
        <f t="shared" ca="1" si="2"/>
        <v>0</v>
      </c>
      <c r="M36" s="16"/>
      <c r="N36" s="17"/>
      <c r="P36" s="19"/>
    </row>
    <row r="37" spans="1:17" ht="18" customHeight="1" x14ac:dyDescent="0.2">
      <c r="A37" s="12">
        <f>DATE($F$3,$F$4,B37)</f>
        <v>44468</v>
      </c>
      <c r="B37" s="11">
        <v>29</v>
      </c>
      <c r="C37" s="11" t="b">
        <f>+MONTH(E36)=MONTH(A37)</f>
        <v>1</v>
      </c>
      <c r="E37" s="12">
        <f>IF(C37=TRUE,DATE($F$3,$F$4,B37),0)</f>
        <v>44468</v>
      </c>
      <c r="F37" s="13" t="str">
        <f>IF(C37=TRUE,VLOOKUP(MOD(E37,7),$P$9:Q41,2),0)</f>
        <v>רביעי</v>
      </c>
      <c r="G37" s="14">
        <f ca="1">IFERROR(VLOOKUP(E37,'דוח ביצוע'!B:D,3,0),0)</f>
        <v>0</v>
      </c>
      <c r="H37" s="14">
        <f ca="1">IFERROR(VLOOKUP(E37,'דוח ביצוע'!B:E,4,0),0)</f>
        <v>0</v>
      </c>
      <c r="I37" s="15">
        <f t="shared" ca="1" si="1"/>
        <v>0</v>
      </c>
      <c r="J37" s="14" t="str">
        <f ca="1">IFERROR(VLOOKUP(E37,'דוח ביצוע'!$B$3:$G$36,6,0),"")</f>
        <v/>
      </c>
      <c r="K37" s="14" t="str">
        <f ca="1">IFERROR(VLOOKUP(E37,'דוח ביצוע'!$B$3:$H$36,7,0),"")</f>
        <v/>
      </c>
      <c r="L37" s="15">
        <f t="shared" ca="1" si="2"/>
        <v>0</v>
      </c>
      <c r="M37" s="16"/>
      <c r="N37" s="17"/>
      <c r="P37" s="19"/>
      <c r="Q37" s="20"/>
    </row>
    <row r="38" spans="1:17" ht="18" customHeight="1" x14ac:dyDescent="0.2">
      <c r="A38" s="12">
        <f>DATE($F$3,$F$4,B38)</f>
        <v>44469</v>
      </c>
      <c r="B38" s="11">
        <v>30</v>
      </c>
      <c r="C38" s="11" t="b">
        <f>+MONTH(E36)=MONTH(A38)</f>
        <v>1</v>
      </c>
      <c r="E38" s="12">
        <f>IF(C38=TRUE,DATE($F$3,$F$4,B38),0)</f>
        <v>44469</v>
      </c>
      <c r="F38" s="13" t="str">
        <f>IF(C38=TRUE,VLOOKUP(MOD(E38,7),$P$9:Q42,2),0)</f>
        <v>חמישי</v>
      </c>
      <c r="G38" s="14">
        <f ca="1">IFERROR(VLOOKUP(E38,'דוח ביצוע'!B:D,3,0),0)</f>
        <v>0</v>
      </c>
      <c r="H38" s="14">
        <f ca="1">IFERROR(VLOOKUP(E38,'דוח ביצוע'!B:E,4,0),0)</f>
        <v>0</v>
      </c>
      <c r="I38" s="15">
        <f t="shared" ca="1" si="1"/>
        <v>0</v>
      </c>
      <c r="J38" s="14" t="str">
        <f ca="1">IFERROR(VLOOKUP(E38,'דוח ביצוע'!$B$3:$G$36,6,0),"")</f>
        <v/>
      </c>
      <c r="K38" s="14" t="str">
        <f ca="1">IFERROR(VLOOKUP(E38,'דוח ביצוע'!$B$3:$H$36,7,0),"")</f>
        <v/>
      </c>
      <c r="L38" s="15">
        <f t="shared" ca="1" si="2"/>
        <v>0</v>
      </c>
      <c r="M38" s="16"/>
      <c r="N38" s="17"/>
      <c r="P38" s="19"/>
    </row>
    <row r="39" spans="1:17" ht="18" customHeight="1" x14ac:dyDescent="0.2">
      <c r="E39" s="21"/>
      <c r="F39" s="22"/>
      <c r="G39" s="23"/>
      <c r="H39" s="23"/>
      <c r="I39" s="24"/>
      <c r="J39" s="23"/>
      <c r="K39" s="23"/>
      <c r="L39" s="24"/>
      <c r="M39" s="25"/>
      <c r="N39" s="10"/>
    </row>
    <row r="40" spans="1:17" ht="18" customHeight="1" x14ac:dyDescent="0.2">
      <c r="F40" s="22"/>
      <c r="G40" s="23"/>
      <c r="H40" s="23"/>
      <c r="I40" s="24"/>
      <c r="J40" s="23"/>
      <c r="K40" s="23"/>
      <c r="L40" s="24"/>
      <c r="M40" s="25"/>
      <c r="N40" s="10"/>
    </row>
    <row r="41" spans="1:17" s="2" customFormat="1" ht="24.95" customHeight="1" x14ac:dyDescent="0.2">
      <c r="G41" s="146" t="s">
        <v>22</v>
      </c>
      <c r="H41" s="147"/>
      <c r="I41" s="26">
        <f ca="1">SUM(I9:I38)</f>
        <v>0</v>
      </c>
      <c r="L41" s="148" t="s">
        <v>23</v>
      </c>
      <c r="M41" s="149"/>
      <c r="N41" s="27"/>
      <c r="O41" s="28"/>
    </row>
    <row r="42" spans="1:17" s="2" customFormat="1" ht="24.95" customHeight="1" x14ac:dyDescent="0.15">
      <c r="G42" s="146" t="s">
        <v>24</v>
      </c>
      <c r="H42" s="147"/>
      <c r="I42" s="26">
        <f ca="1">SUM(L9:L38)</f>
        <v>0</v>
      </c>
      <c r="L42" s="148" t="s">
        <v>25</v>
      </c>
      <c r="M42" s="149"/>
      <c r="N42" s="17"/>
      <c r="O42" s="28"/>
    </row>
    <row r="43" spans="1:17" s="2" customFormat="1" ht="24.95" customHeight="1" x14ac:dyDescent="0.15">
      <c r="G43" s="146" t="s">
        <v>26</v>
      </c>
      <c r="H43" s="147"/>
      <c r="I43" s="29">
        <f>COUNTA(M9:M38)</f>
        <v>0</v>
      </c>
      <c r="L43" s="148" t="s">
        <v>27</v>
      </c>
      <c r="M43" s="149"/>
      <c r="N43" s="17"/>
      <c r="O43" s="28"/>
    </row>
    <row r="44" spans="1:17" ht="18" customHeight="1" x14ac:dyDescent="0.2"/>
  </sheetData>
  <mergeCells count="10">
    <mergeCell ref="G42:H42"/>
    <mergeCell ref="L42:M42"/>
    <mergeCell ref="G43:H43"/>
    <mergeCell ref="L43:M43"/>
    <mergeCell ref="I3:K3"/>
    <mergeCell ref="I4:K4"/>
    <mergeCell ref="G7:I7"/>
    <mergeCell ref="J7:L7"/>
    <mergeCell ref="G41:H41"/>
    <mergeCell ref="L41:M41"/>
  </mergeCells>
  <dataValidations count="5">
    <dataValidation type="whole" allowBlank="1" showInputMessage="1" showErrorMessage="1" sqref="F3" xr:uid="{00000000-0002-0000-0B00-000000000000}">
      <formula1>2002</formula1>
      <formula2>2100</formula2>
    </dataValidation>
    <dataValidation type="whole" allowBlank="1" showInputMessage="1" showErrorMessage="1" sqref="F4" xr:uid="{00000000-0002-0000-0B00-000001000000}">
      <formula1>1</formula1>
      <formula2>12</formula2>
    </dataValidation>
    <dataValidation type="whole" allowBlank="1" showInputMessage="1" showErrorMessage="1" sqref="F5" xr:uid="{00000000-0002-0000-0B00-000002000000}">
      <formula1>150</formula1>
      <formula2>216</formula2>
    </dataValidation>
    <dataValidation type="list" allowBlank="1" showInputMessage="1" showErrorMessage="1" sqref="M9:M40" xr:uid="{00000000-0002-0000-0B00-000003000000}">
      <formula1>$R$9:$R$10</formula1>
    </dataValidation>
    <dataValidation type="time" allowBlank="1" showInputMessage="1" showErrorMessage="1" sqref="J39:K40 G9:H40" xr:uid="{00000000-0002-0000-0B00-000004000000}">
      <formula1>0</formula1>
      <formula2>0.999305555555556</formula2>
    </dataValidation>
  </dataValidations>
  <pageMargins left="0.7" right="0.7" top="0.75" bottom="0.75" header="0.3" footer="0.3"/>
  <pageSetup paperSize="9" scale="75" orientation="portrait" r:id="rId1"/>
  <ignoredErrors>
    <ignoredError sqref="H10 H14:H17 H21:H24 H28:H31 H35:H38 H9 H13 H20 H27 H34" unlockedFormula="1"/>
  </ignoredError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גיליון11">
    <pageSetUpPr fitToPage="1"/>
  </sheetPr>
  <dimension ref="A1:R45"/>
  <sheetViews>
    <sheetView rightToLeft="1" topLeftCell="D1" zoomScaleNormal="100" workbookViewId="0">
      <selection activeCell="M4" sqref="M4"/>
    </sheetView>
  </sheetViews>
  <sheetFormatPr defaultColWidth="9.140625" defaultRowHeight="12.75" x14ac:dyDescent="0.2"/>
  <cols>
    <col min="1" max="3" width="3.42578125" style="1" hidden="1" customWidth="1"/>
    <col min="4" max="4" width="2.85546875" style="1" customWidth="1"/>
    <col min="5" max="5" width="12.28515625" style="1" customWidth="1"/>
    <col min="6" max="6" width="9.28515625" style="1" customWidth="1"/>
    <col min="7" max="7" width="7.42578125" style="1" customWidth="1"/>
    <col min="8" max="8" width="11.140625" style="1" customWidth="1"/>
    <col min="9" max="12" width="8.7109375" style="1" customWidth="1"/>
    <col min="13" max="13" width="11.7109375" style="1" customWidth="1"/>
    <col min="14" max="14" width="19.42578125" style="1" customWidth="1"/>
    <col min="15" max="15" width="2.28515625" style="1" hidden="1" customWidth="1"/>
    <col min="16" max="16" width="2.42578125" style="1" hidden="1" customWidth="1"/>
    <col min="17" max="17" width="8.28515625" style="1" hidden="1" customWidth="1"/>
    <col min="18" max="18" width="2.5703125" style="1" hidden="1" customWidth="1"/>
    <col min="19" max="19" width="0" style="1" hidden="1" customWidth="1"/>
    <col min="20" max="16384" width="9.140625" style="1"/>
  </cols>
  <sheetData>
    <row r="1" spans="1:18" ht="15.95" customHeight="1" x14ac:dyDescent="0.2"/>
    <row r="2" spans="1:18" ht="15.95" customHeight="1" x14ac:dyDescent="0.2"/>
    <row r="3" spans="1:18" s="2" customFormat="1" ht="21.95" customHeight="1" x14ac:dyDescent="0.2">
      <c r="E3" s="3" t="s">
        <v>0</v>
      </c>
      <c r="F3" s="4">
        <v>2021</v>
      </c>
      <c r="H3" s="3" t="s">
        <v>1</v>
      </c>
      <c r="I3" s="150"/>
      <c r="J3" s="151"/>
      <c r="K3" s="152"/>
    </row>
    <row r="4" spans="1:18" s="2" customFormat="1" ht="21.95" customHeight="1" x14ac:dyDescent="0.2">
      <c r="E4" s="3" t="s">
        <v>2</v>
      </c>
      <c r="F4" s="4">
        <v>10</v>
      </c>
      <c r="H4" s="3" t="s">
        <v>3</v>
      </c>
      <c r="I4" s="150"/>
      <c r="J4" s="151"/>
      <c r="K4" s="152"/>
    </row>
    <row r="5" spans="1:18" s="2" customFormat="1" ht="21.95" customHeight="1" x14ac:dyDescent="0.2">
      <c r="E5" s="5" t="s">
        <v>4</v>
      </c>
      <c r="F5" s="4"/>
      <c r="H5" s="6"/>
      <c r="I5" s="7"/>
      <c r="J5" s="7"/>
      <c r="K5" s="7"/>
    </row>
    <row r="6" spans="1:18" ht="18" customHeight="1" x14ac:dyDescent="0.2"/>
    <row r="7" spans="1:18" ht="18" customHeight="1" x14ac:dyDescent="0.2">
      <c r="G7" s="153" t="s">
        <v>5</v>
      </c>
      <c r="H7" s="153"/>
      <c r="I7" s="153"/>
      <c r="J7" s="153" t="s">
        <v>6</v>
      </c>
      <c r="K7" s="153"/>
      <c r="L7" s="153"/>
    </row>
    <row r="8" spans="1:18" ht="34.5" x14ac:dyDescent="0.2">
      <c r="E8" s="8" t="s">
        <v>7</v>
      </c>
      <c r="F8" s="8" t="s">
        <v>8</v>
      </c>
      <c r="G8" s="8" t="s">
        <v>9</v>
      </c>
      <c r="H8" s="8" t="s">
        <v>10</v>
      </c>
      <c r="I8" s="8" t="s">
        <v>11</v>
      </c>
      <c r="J8" s="8" t="s">
        <v>9</v>
      </c>
      <c r="K8" s="8" t="s">
        <v>10</v>
      </c>
      <c r="L8" s="8" t="s">
        <v>11</v>
      </c>
      <c r="M8" s="8" t="s">
        <v>12</v>
      </c>
      <c r="N8" s="8" t="s">
        <v>13</v>
      </c>
      <c r="Q8" s="9" t="s">
        <v>8</v>
      </c>
      <c r="R8" s="10"/>
    </row>
    <row r="9" spans="1:18" ht="18" customHeight="1" x14ac:dyDescent="0.2">
      <c r="A9" s="11"/>
      <c r="B9" s="11">
        <v>1</v>
      </c>
      <c r="C9" s="11"/>
      <c r="E9" s="12">
        <f>DATE($F$3,$F$4,B9)</f>
        <v>44470</v>
      </c>
      <c r="F9" s="13" t="str">
        <f>VLOOKUP(MOD(E9,7),$P$9:Q15,2)</f>
        <v>שישי</v>
      </c>
      <c r="G9" s="14"/>
      <c r="H9" s="14"/>
      <c r="I9" s="15">
        <f>IFERROR(24*(H9-G9),"")</f>
        <v>0</v>
      </c>
      <c r="J9" s="14" t="str">
        <f ca="1">IFERROR(VLOOKUP(E9,'דוח ביצוע'!$B$3:$G$36,6,0),"")</f>
        <v/>
      </c>
      <c r="K9" s="14" t="str">
        <f ca="1">IFERROR(VLOOKUP(E9,'דוח ביצוע'!$B$3:$H$36,7,0),"")</f>
        <v/>
      </c>
      <c r="L9" s="15">
        <f ca="1">IFERROR(24*(K9-J9),0)</f>
        <v>0</v>
      </c>
      <c r="M9" s="16"/>
      <c r="N9" s="17"/>
      <c r="P9" s="1">
        <v>0</v>
      </c>
      <c r="Q9" s="1" t="s">
        <v>14</v>
      </c>
      <c r="R9" s="18" t="s">
        <v>15</v>
      </c>
    </row>
    <row r="10" spans="1:18" ht="18" customHeight="1" x14ac:dyDescent="0.2">
      <c r="A10" s="11"/>
      <c r="B10" s="11">
        <v>2</v>
      </c>
      <c r="C10" s="11"/>
      <c r="E10" s="12">
        <f t="shared" ref="E10:E36" si="0">DATE($F$3,$F$4,B10)</f>
        <v>44471</v>
      </c>
      <c r="F10" s="13" t="str">
        <f>VLOOKUP(MOD(E10,7),$P$9:Q16,2)</f>
        <v>שבת</v>
      </c>
      <c r="G10" s="14"/>
      <c r="H10" s="14"/>
      <c r="I10" s="15">
        <f t="shared" ref="I10:I39" si="1">IFERROR(24*(H10-G10),"")</f>
        <v>0</v>
      </c>
      <c r="J10" s="14" t="str">
        <f ca="1">IFERROR(VLOOKUP(E10,'דוח ביצוע'!$B$3:$G$36,6,0),"")</f>
        <v/>
      </c>
      <c r="K10" s="14" t="str">
        <f ca="1">IFERROR(VLOOKUP(E10,'דוח ביצוע'!$B$3:$H$36,7,0),"")</f>
        <v/>
      </c>
      <c r="L10" s="15">
        <f t="shared" ref="L10:L39" ca="1" si="2">IFERROR(24*(K10-J10),0)</f>
        <v>0</v>
      </c>
      <c r="M10" s="16"/>
      <c r="N10" s="17"/>
      <c r="P10" s="1">
        <v>1</v>
      </c>
      <c r="Q10" s="1" t="s">
        <v>16</v>
      </c>
    </row>
    <row r="11" spans="1:18" ht="18" customHeight="1" x14ac:dyDescent="0.2">
      <c r="A11" s="11"/>
      <c r="B11" s="11">
        <v>3</v>
      </c>
      <c r="C11" s="11"/>
      <c r="E11" s="12">
        <f t="shared" si="0"/>
        <v>44472</v>
      </c>
      <c r="F11" s="13" t="str">
        <f>VLOOKUP(MOD(E11,7),$P$9:Q17,2)</f>
        <v>ראשון</v>
      </c>
      <c r="G11" s="14">
        <f ca="1">IFERROR(VLOOKUP(E11,'דוח ביצוע'!B:D,3,0),0)</f>
        <v>0</v>
      </c>
      <c r="H11" s="14">
        <f ca="1">IFERROR(VLOOKUP(E11,'דוח ביצוע'!B:E,4,0),0)</f>
        <v>0</v>
      </c>
      <c r="I11" s="15">
        <f t="shared" ca="1" si="1"/>
        <v>0</v>
      </c>
      <c r="J11" s="14" t="str">
        <f ca="1">IFERROR(VLOOKUP(E11,'דוח ביצוע'!$B$3:$G$36,6,0),"")</f>
        <v/>
      </c>
      <c r="K11" s="14" t="str">
        <f ca="1">IFERROR(VLOOKUP(E11,'דוח ביצוע'!$B$3:$H$36,7,0),"")</f>
        <v/>
      </c>
      <c r="L11" s="15">
        <f t="shared" ca="1" si="2"/>
        <v>0</v>
      </c>
      <c r="M11" s="16"/>
      <c r="N11" s="17"/>
      <c r="P11" s="1">
        <v>2</v>
      </c>
      <c r="Q11" s="1" t="s">
        <v>17</v>
      </c>
    </row>
    <row r="12" spans="1:18" ht="18" customHeight="1" x14ac:dyDescent="0.2">
      <c r="A12" s="11"/>
      <c r="B12" s="11">
        <v>4</v>
      </c>
      <c r="C12" s="11"/>
      <c r="E12" s="12">
        <f t="shared" si="0"/>
        <v>44473</v>
      </c>
      <c r="F12" s="13" t="str">
        <f>VLOOKUP(MOD(E12,7),$P$9:Q18,2)</f>
        <v>שני</v>
      </c>
      <c r="G12" s="14">
        <f ca="1">IFERROR(VLOOKUP(E12,'דוח ביצוע'!B:D,3,0),0)</f>
        <v>0</v>
      </c>
      <c r="H12" s="14">
        <f ca="1">IFERROR(VLOOKUP(E12,'דוח ביצוע'!B:E,4,0),0)</f>
        <v>0</v>
      </c>
      <c r="I12" s="15">
        <f t="shared" ca="1" si="1"/>
        <v>0</v>
      </c>
      <c r="J12" s="14" t="str">
        <f ca="1">IFERROR(VLOOKUP(E12,'דוח ביצוע'!$B$3:$G$36,6,0),"")</f>
        <v/>
      </c>
      <c r="K12" s="14" t="str">
        <f ca="1">IFERROR(VLOOKUP(E12,'דוח ביצוע'!$B$3:$H$36,7,0),"")</f>
        <v/>
      </c>
      <c r="L12" s="15">
        <f t="shared" ca="1" si="2"/>
        <v>0</v>
      </c>
      <c r="M12" s="16"/>
      <c r="N12" s="17"/>
      <c r="P12" s="1">
        <v>3</v>
      </c>
      <c r="Q12" s="1" t="s">
        <v>18</v>
      </c>
    </row>
    <row r="13" spans="1:18" ht="18" customHeight="1" x14ac:dyDescent="0.2">
      <c r="A13" s="11"/>
      <c r="B13" s="11">
        <v>5</v>
      </c>
      <c r="C13" s="11"/>
      <c r="E13" s="12">
        <f t="shared" si="0"/>
        <v>44474</v>
      </c>
      <c r="F13" s="13" t="str">
        <f>VLOOKUP(MOD(E13,7),$P$9:Q19,2)</f>
        <v>שלישי</v>
      </c>
      <c r="G13" s="14">
        <f ca="1">IFERROR(VLOOKUP(E13,'דוח ביצוע'!B:D,3,0),0)</f>
        <v>0</v>
      </c>
      <c r="H13" s="14">
        <f ca="1">IFERROR(VLOOKUP(E13,'דוח ביצוע'!B:E,4,0),0)</f>
        <v>0</v>
      </c>
      <c r="I13" s="15">
        <f t="shared" ca="1" si="1"/>
        <v>0</v>
      </c>
      <c r="J13" s="14" t="str">
        <f ca="1">IFERROR(VLOOKUP(E13,'דוח ביצוע'!$B$3:$G$36,6,0),"")</f>
        <v/>
      </c>
      <c r="K13" s="14" t="str">
        <f ca="1">IFERROR(VLOOKUP(E13,'דוח ביצוע'!$B$3:$H$36,7,0),"")</f>
        <v/>
      </c>
      <c r="L13" s="15">
        <f t="shared" ca="1" si="2"/>
        <v>0</v>
      </c>
      <c r="M13" s="16"/>
      <c r="N13" s="17"/>
      <c r="P13" s="1">
        <v>4</v>
      </c>
      <c r="Q13" s="1" t="s">
        <v>19</v>
      </c>
    </row>
    <row r="14" spans="1:18" ht="18" customHeight="1" x14ac:dyDescent="0.2">
      <c r="A14" s="11"/>
      <c r="B14" s="11">
        <v>6</v>
      </c>
      <c r="C14" s="11"/>
      <c r="E14" s="12">
        <f t="shared" si="0"/>
        <v>44475</v>
      </c>
      <c r="F14" s="13" t="str">
        <f>VLOOKUP(MOD(E14,7),$P$9:Q20,2)</f>
        <v>רביעי</v>
      </c>
      <c r="G14" s="14">
        <f ca="1">IFERROR(VLOOKUP(E14,'דוח ביצוע'!B:D,3,0),0)</f>
        <v>0</v>
      </c>
      <c r="H14" s="14">
        <f ca="1">IFERROR(VLOOKUP(E14,'דוח ביצוע'!B:E,4,0),0)</f>
        <v>0</v>
      </c>
      <c r="I14" s="15">
        <f t="shared" ca="1" si="1"/>
        <v>0</v>
      </c>
      <c r="J14" s="14" t="str">
        <f ca="1">IFERROR(VLOOKUP(E14,'דוח ביצוע'!$B$3:$G$36,6,0),"")</f>
        <v/>
      </c>
      <c r="K14" s="14" t="str">
        <f ca="1">IFERROR(VLOOKUP(E14,'דוח ביצוע'!$B$3:$H$36,7,0),"")</f>
        <v/>
      </c>
      <c r="L14" s="15">
        <f t="shared" ca="1" si="2"/>
        <v>0</v>
      </c>
      <c r="M14" s="16"/>
      <c r="N14" s="17"/>
      <c r="P14" s="1">
        <v>5</v>
      </c>
      <c r="Q14" s="1" t="s">
        <v>20</v>
      </c>
    </row>
    <row r="15" spans="1:18" ht="18" customHeight="1" x14ac:dyDescent="0.2">
      <c r="A15" s="11"/>
      <c r="B15" s="11">
        <v>7</v>
      </c>
      <c r="C15" s="11"/>
      <c r="E15" s="12">
        <f t="shared" si="0"/>
        <v>44476</v>
      </c>
      <c r="F15" s="13" t="str">
        <f>VLOOKUP(MOD(E15,7),$P$9:Q21,2)</f>
        <v>חמישי</v>
      </c>
      <c r="G15" s="14">
        <f ca="1">IFERROR(VLOOKUP(E15,'דוח ביצוע'!B:D,3,0),0)</f>
        <v>0</v>
      </c>
      <c r="H15" s="14">
        <f ca="1">IFERROR(VLOOKUP(E15,'דוח ביצוע'!B:E,4,0),0)</f>
        <v>0</v>
      </c>
      <c r="I15" s="15">
        <f t="shared" ca="1" si="1"/>
        <v>0</v>
      </c>
      <c r="J15" s="14" t="str">
        <f ca="1">IFERROR(VLOOKUP(E15,'דוח ביצוע'!$B$3:$G$36,6,0),"")</f>
        <v/>
      </c>
      <c r="K15" s="14" t="str">
        <f ca="1">IFERROR(VLOOKUP(E15,'דוח ביצוע'!$B$3:$H$36,7,0),"")</f>
        <v/>
      </c>
      <c r="L15" s="15">
        <f t="shared" ca="1" si="2"/>
        <v>0</v>
      </c>
      <c r="M15" s="16"/>
      <c r="N15" s="17"/>
      <c r="P15" s="1">
        <v>6</v>
      </c>
      <c r="Q15" s="1" t="s">
        <v>21</v>
      </c>
    </row>
    <row r="16" spans="1:18" ht="18" customHeight="1" x14ac:dyDescent="0.2">
      <c r="A16" s="11"/>
      <c r="B16" s="11">
        <v>8</v>
      </c>
      <c r="C16" s="11"/>
      <c r="E16" s="12">
        <f t="shared" si="0"/>
        <v>44477</v>
      </c>
      <c r="F16" s="13" t="str">
        <f>VLOOKUP(MOD(E16,7),$P$9:Q22,2)</f>
        <v>שישי</v>
      </c>
      <c r="G16" s="14"/>
      <c r="H16" s="14"/>
      <c r="I16" s="15">
        <f t="shared" si="1"/>
        <v>0</v>
      </c>
      <c r="J16" s="14" t="str">
        <f ca="1">IFERROR(VLOOKUP(E16,'דוח ביצוע'!$B$3:$G$36,6,0),"")</f>
        <v/>
      </c>
      <c r="K16" s="14" t="str">
        <f ca="1">IFERROR(VLOOKUP(E16,'דוח ביצוע'!$B$3:$H$36,7,0),"")</f>
        <v/>
      </c>
      <c r="L16" s="15">
        <f t="shared" ca="1" si="2"/>
        <v>0</v>
      </c>
      <c r="M16" s="16"/>
      <c r="N16" s="17"/>
    </row>
    <row r="17" spans="1:14" ht="18" customHeight="1" x14ac:dyDescent="0.2">
      <c r="A17" s="11"/>
      <c r="B17" s="11">
        <v>9</v>
      </c>
      <c r="C17" s="11"/>
      <c r="E17" s="12">
        <f t="shared" si="0"/>
        <v>44478</v>
      </c>
      <c r="F17" s="13" t="str">
        <f>VLOOKUP(MOD(E17,7),$P$9:Q23,2)</f>
        <v>שבת</v>
      </c>
      <c r="G17" s="14"/>
      <c r="H17" s="14"/>
      <c r="I17" s="15">
        <f t="shared" si="1"/>
        <v>0</v>
      </c>
      <c r="J17" s="14" t="str">
        <f ca="1">IFERROR(VLOOKUP(E17,'דוח ביצוע'!$B$3:$G$36,6,0),"")</f>
        <v/>
      </c>
      <c r="K17" s="14" t="str">
        <f ca="1">IFERROR(VLOOKUP(E17,'דוח ביצוע'!$B$3:$H$36,7,0),"")</f>
        <v/>
      </c>
      <c r="L17" s="15">
        <f t="shared" ca="1" si="2"/>
        <v>0</v>
      </c>
      <c r="M17" s="16"/>
      <c r="N17" s="17"/>
    </row>
    <row r="18" spans="1:14" ht="18" customHeight="1" x14ac:dyDescent="0.2">
      <c r="A18" s="11"/>
      <c r="B18" s="11">
        <v>10</v>
      </c>
      <c r="C18" s="11"/>
      <c r="E18" s="12">
        <f t="shared" si="0"/>
        <v>44479</v>
      </c>
      <c r="F18" s="13" t="str">
        <f>VLOOKUP(MOD(E18,7),$P$9:Q24,2)</f>
        <v>ראשון</v>
      </c>
      <c r="G18" s="14">
        <f ca="1">IFERROR(VLOOKUP(E18,'דוח ביצוע'!B:D,3,0),0)</f>
        <v>0</v>
      </c>
      <c r="H18" s="14">
        <f ca="1">IFERROR(VLOOKUP(E18,'דוח ביצוע'!B:E,4,0),0)</f>
        <v>0</v>
      </c>
      <c r="I18" s="15">
        <f t="shared" ca="1" si="1"/>
        <v>0</v>
      </c>
      <c r="J18" s="14" t="str">
        <f ca="1">IFERROR(VLOOKUP(E18,'דוח ביצוע'!$B$3:$G$36,6,0),"")</f>
        <v/>
      </c>
      <c r="K18" s="14" t="str">
        <f ca="1">IFERROR(VLOOKUP(E18,'דוח ביצוע'!$B$3:$H$36,7,0),"")</f>
        <v/>
      </c>
      <c r="L18" s="15">
        <f t="shared" ca="1" si="2"/>
        <v>0</v>
      </c>
      <c r="M18" s="16"/>
      <c r="N18" s="17"/>
    </row>
    <row r="19" spans="1:14" ht="18" customHeight="1" x14ac:dyDescent="0.2">
      <c r="A19" s="11"/>
      <c r="B19" s="11">
        <v>11</v>
      </c>
      <c r="C19" s="11"/>
      <c r="E19" s="12">
        <f t="shared" si="0"/>
        <v>44480</v>
      </c>
      <c r="F19" s="13" t="str">
        <f>VLOOKUP(MOD(E19,7),$P$9:Q25,2)</f>
        <v>שני</v>
      </c>
      <c r="G19" s="14">
        <f ca="1">IFERROR(VLOOKUP(E19,'דוח ביצוע'!B:D,3,0),0)</f>
        <v>0</v>
      </c>
      <c r="H19" s="14">
        <f ca="1">IFERROR(VLOOKUP(E19,'דוח ביצוע'!B:E,4,0),0)</f>
        <v>0</v>
      </c>
      <c r="I19" s="15">
        <f t="shared" ca="1" si="1"/>
        <v>0</v>
      </c>
      <c r="J19" s="14" t="str">
        <f ca="1">IFERROR(VLOOKUP(E19,'דוח ביצוע'!$B$3:$G$36,6,0),"")</f>
        <v/>
      </c>
      <c r="K19" s="14" t="str">
        <f ca="1">IFERROR(VLOOKUP(E19,'דוח ביצוע'!$B$3:$H$36,7,0),"")</f>
        <v/>
      </c>
      <c r="L19" s="15">
        <f t="shared" ca="1" si="2"/>
        <v>0</v>
      </c>
      <c r="M19" s="16"/>
      <c r="N19" s="17"/>
    </row>
    <row r="20" spans="1:14" ht="18" customHeight="1" x14ac:dyDescent="0.2">
      <c r="A20" s="11"/>
      <c r="B20" s="11">
        <v>12</v>
      </c>
      <c r="C20" s="11"/>
      <c r="E20" s="12">
        <f t="shared" si="0"/>
        <v>44481</v>
      </c>
      <c r="F20" s="13" t="str">
        <f>VLOOKUP(MOD(E20,7),$P$9:Q26,2)</f>
        <v>שלישי</v>
      </c>
      <c r="G20" s="14">
        <f ca="1">IFERROR(VLOOKUP(E20,'דוח ביצוע'!B:D,3,0),0)</f>
        <v>0</v>
      </c>
      <c r="H20" s="14">
        <f ca="1">IFERROR(VLOOKUP(E20,'דוח ביצוע'!B:E,4,0),0)</f>
        <v>0</v>
      </c>
      <c r="I20" s="15">
        <f t="shared" ca="1" si="1"/>
        <v>0</v>
      </c>
      <c r="J20" s="14" t="str">
        <f ca="1">IFERROR(VLOOKUP(E20,'דוח ביצוע'!$B$3:$G$36,6,0),"")</f>
        <v/>
      </c>
      <c r="K20" s="14" t="str">
        <f ca="1">IFERROR(VLOOKUP(E20,'דוח ביצוע'!$B$3:$H$36,7,0),"")</f>
        <v/>
      </c>
      <c r="L20" s="15">
        <f t="shared" ca="1" si="2"/>
        <v>0</v>
      </c>
      <c r="M20" s="16"/>
      <c r="N20" s="17"/>
    </row>
    <row r="21" spans="1:14" ht="18" customHeight="1" x14ac:dyDescent="0.2">
      <c r="A21" s="11"/>
      <c r="B21" s="11">
        <v>13</v>
      </c>
      <c r="C21" s="11"/>
      <c r="E21" s="12">
        <f t="shared" si="0"/>
        <v>44482</v>
      </c>
      <c r="F21" s="13" t="str">
        <f>VLOOKUP(MOD(E21,7),$P$9:Q27,2)</f>
        <v>רביעי</v>
      </c>
      <c r="G21" s="14">
        <f ca="1">IFERROR(VLOOKUP(E21,'דוח ביצוע'!B:D,3,0),0)</f>
        <v>0</v>
      </c>
      <c r="H21" s="14">
        <f ca="1">IFERROR(VLOOKUP(E21,'דוח ביצוע'!B:E,4,0),0)</f>
        <v>0</v>
      </c>
      <c r="I21" s="15">
        <f t="shared" ca="1" si="1"/>
        <v>0</v>
      </c>
      <c r="J21" s="14" t="str">
        <f ca="1">IFERROR(VLOOKUP(E21,'דוח ביצוע'!$B$3:$G$36,6,0),"")</f>
        <v/>
      </c>
      <c r="K21" s="14" t="str">
        <f ca="1">IFERROR(VLOOKUP(E21,'דוח ביצוע'!$B$3:$H$36,7,0),"")</f>
        <v/>
      </c>
      <c r="L21" s="15">
        <f t="shared" ca="1" si="2"/>
        <v>0</v>
      </c>
      <c r="M21" s="16"/>
      <c r="N21" s="17"/>
    </row>
    <row r="22" spans="1:14" ht="18" customHeight="1" x14ac:dyDescent="0.2">
      <c r="A22" s="11"/>
      <c r="B22" s="11">
        <v>14</v>
      </c>
      <c r="C22" s="11"/>
      <c r="E22" s="12">
        <f t="shared" si="0"/>
        <v>44483</v>
      </c>
      <c r="F22" s="13" t="str">
        <f>VLOOKUP(MOD(E22,7),$P$9:Q28,2)</f>
        <v>חמישי</v>
      </c>
      <c r="G22" s="14">
        <f ca="1">IFERROR(VLOOKUP(E22,'דוח ביצוע'!B:D,3,0),0)</f>
        <v>0</v>
      </c>
      <c r="H22" s="14">
        <f ca="1">IFERROR(VLOOKUP(E22,'דוח ביצוע'!B:E,4,0),0)</f>
        <v>0</v>
      </c>
      <c r="I22" s="15">
        <f t="shared" ca="1" si="1"/>
        <v>0</v>
      </c>
      <c r="J22" s="14" t="str">
        <f ca="1">IFERROR(VLOOKUP(E22,'דוח ביצוע'!$B$3:$G$36,6,0),"")</f>
        <v/>
      </c>
      <c r="K22" s="14" t="str">
        <f ca="1">IFERROR(VLOOKUP(E22,'דוח ביצוע'!$B$3:$H$36,7,0),"")</f>
        <v/>
      </c>
      <c r="L22" s="15">
        <f t="shared" ca="1" si="2"/>
        <v>0</v>
      </c>
      <c r="M22" s="16"/>
      <c r="N22" s="17"/>
    </row>
    <row r="23" spans="1:14" ht="18" customHeight="1" x14ac:dyDescent="0.2">
      <c r="A23" s="11"/>
      <c r="B23" s="11">
        <v>15</v>
      </c>
      <c r="C23" s="11"/>
      <c r="E23" s="12">
        <f t="shared" si="0"/>
        <v>44484</v>
      </c>
      <c r="F23" s="13" t="str">
        <f>VLOOKUP(MOD(E23,7),$P$9:Q29,2)</f>
        <v>שישי</v>
      </c>
      <c r="G23" s="14"/>
      <c r="H23" s="14"/>
      <c r="I23" s="15">
        <f t="shared" si="1"/>
        <v>0</v>
      </c>
      <c r="J23" s="14" t="str">
        <f ca="1">IFERROR(VLOOKUP(E23,'דוח ביצוע'!$B$3:$G$36,6,0),"")</f>
        <v/>
      </c>
      <c r="K23" s="14" t="str">
        <f ca="1">IFERROR(VLOOKUP(E23,'דוח ביצוע'!$B$3:$H$36,7,0),"")</f>
        <v/>
      </c>
      <c r="L23" s="15">
        <f t="shared" ca="1" si="2"/>
        <v>0</v>
      </c>
      <c r="M23" s="16"/>
      <c r="N23" s="17"/>
    </row>
    <row r="24" spans="1:14" ht="18" customHeight="1" x14ac:dyDescent="0.2">
      <c r="A24" s="11"/>
      <c r="B24" s="11">
        <v>16</v>
      </c>
      <c r="C24" s="11"/>
      <c r="E24" s="12">
        <f t="shared" si="0"/>
        <v>44485</v>
      </c>
      <c r="F24" s="13" t="str">
        <f>VLOOKUP(MOD(E24,7),$P$9:Q30,2)</f>
        <v>שבת</v>
      </c>
      <c r="G24" s="14"/>
      <c r="H24" s="14"/>
      <c r="I24" s="15">
        <f t="shared" si="1"/>
        <v>0</v>
      </c>
      <c r="J24" s="14" t="str">
        <f ca="1">IFERROR(VLOOKUP(E24,'דוח ביצוע'!$B$3:$G$36,6,0),"")</f>
        <v/>
      </c>
      <c r="K24" s="14" t="str">
        <f ca="1">IFERROR(VLOOKUP(E24,'דוח ביצוע'!$B$3:$H$36,7,0),"")</f>
        <v/>
      </c>
      <c r="L24" s="15">
        <f t="shared" ca="1" si="2"/>
        <v>0</v>
      </c>
      <c r="M24" s="16"/>
      <c r="N24" s="17"/>
    </row>
    <row r="25" spans="1:14" ht="18" customHeight="1" x14ac:dyDescent="0.2">
      <c r="A25" s="11"/>
      <c r="B25" s="11">
        <v>17</v>
      </c>
      <c r="C25" s="11"/>
      <c r="E25" s="12">
        <f t="shared" si="0"/>
        <v>44486</v>
      </c>
      <c r="F25" s="13" t="str">
        <f>VLOOKUP(MOD(E25,7),$P$9:Q31,2)</f>
        <v>ראשון</v>
      </c>
      <c r="G25" s="14">
        <f ca="1">IFERROR(VLOOKUP(E25,'דוח ביצוע'!B:D,3,0),0)</f>
        <v>0</v>
      </c>
      <c r="H25" s="14">
        <f ca="1">IFERROR(VLOOKUP(E25,'דוח ביצוע'!B:E,4,0),0)</f>
        <v>0</v>
      </c>
      <c r="I25" s="15">
        <f t="shared" ca="1" si="1"/>
        <v>0</v>
      </c>
      <c r="J25" s="14" t="str">
        <f ca="1">IFERROR(VLOOKUP(E25,'דוח ביצוע'!$B$3:$G$36,6,0),"")</f>
        <v/>
      </c>
      <c r="K25" s="14" t="str">
        <f ca="1">IFERROR(VLOOKUP(E25,'דוח ביצוע'!$B$3:$H$36,7,0),"")</f>
        <v/>
      </c>
      <c r="L25" s="15">
        <f t="shared" ca="1" si="2"/>
        <v>0</v>
      </c>
      <c r="M25" s="16"/>
      <c r="N25" s="17"/>
    </row>
    <row r="26" spans="1:14" ht="18" customHeight="1" x14ac:dyDescent="0.2">
      <c r="A26" s="11"/>
      <c r="B26" s="11">
        <v>18</v>
      </c>
      <c r="C26" s="11"/>
      <c r="E26" s="12">
        <f t="shared" si="0"/>
        <v>44487</v>
      </c>
      <c r="F26" s="13" t="str">
        <f>VLOOKUP(MOD(E26,7),$P$9:Q32,2)</f>
        <v>שני</v>
      </c>
      <c r="G26" s="14">
        <f ca="1">IFERROR(VLOOKUP(E26,'דוח ביצוע'!B:D,3,0),0)</f>
        <v>0</v>
      </c>
      <c r="H26" s="14">
        <f ca="1">IFERROR(VLOOKUP(E26,'דוח ביצוע'!B:E,4,0),0)</f>
        <v>0</v>
      </c>
      <c r="I26" s="15">
        <f t="shared" ca="1" si="1"/>
        <v>0</v>
      </c>
      <c r="J26" s="14" t="str">
        <f ca="1">IFERROR(VLOOKUP(E26,'דוח ביצוע'!$B$3:$G$36,6,0),"")</f>
        <v/>
      </c>
      <c r="K26" s="14" t="str">
        <f ca="1">IFERROR(VLOOKUP(E26,'דוח ביצוע'!$B$3:$H$36,7,0),"")</f>
        <v/>
      </c>
      <c r="L26" s="15">
        <f t="shared" ca="1" si="2"/>
        <v>0</v>
      </c>
      <c r="M26" s="16"/>
      <c r="N26" s="17"/>
    </row>
    <row r="27" spans="1:14" ht="18" customHeight="1" x14ac:dyDescent="0.2">
      <c r="A27" s="11"/>
      <c r="B27" s="11">
        <v>19</v>
      </c>
      <c r="C27" s="11"/>
      <c r="E27" s="12">
        <f t="shared" si="0"/>
        <v>44488</v>
      </c>
      <c r="F27" s="13" t="str">
        <f>VLOOKUP(MOD(E27,7),$P$9:Q33,2)</f>
        <v>שלישי</v>
      </c>
      <c r="G27" s="14">
        <f ca="1">IFERROR(VLOOKUP(E27,'דוח ביצוע'!B:D,3,0),0)</f>
        <v>0</v>
      </c>
      <c r="H27" s="14">
        <f ca="1">IFERROR(VLOOKUP(E27,'דוח ביצוע'!B:E,4,0),0)</f>
        <v>0</v>
      </c>
      <c r="I27" s="15">
        <f t="shared" ca="1" si="1"/>
        <v>0</v>
      </c>
      <c r="J27" s="14" t="str">
        <f ca="1">IFERROR(VLOOKUP(E27,'דוח ביצוע'!$B$3:$G$36,6,0),"")</f>
        <v/>
      </c>
      <c r="K27" s="14" t="str">
        <f ca="1">IFERROR(VLOOKUP(E27,'דוח ביצוע'!$B$3:$H$36,7,0),"")</f>
        <v/>
      </c>
      <c r="L27" s="15">
        <f t="shared" ca="1" si="2"/>
        <v>0</v>
      </c>
      <c r="M27" s="16"/>
      <c r="N27" s="17"/>
    </row>
    <row r="28" spans="1:14" ht="18" customHeight="1" x14ac:dyDescent="0.2">
      <c r="A28" s="11"/>
      <c r="B28" s="11">
        <v>20</v>
      </c>
      <c r="C28" s="11"/>
      <c r="E28" s="12">
        <f t="shared" si="0"/>
        <v>44489</v>
      </c>
      <c r="F28" s="13" t="str">
        <f>VLOOKUP(MOD(E28,7),$P$9:Q34,2)</f>
        <v>רביעי</v>
      </c>
      <c r="G28" s="14">
        <f ca="1">IFERROR(VLOOKUP(E28,'דוח ביצוע'!B:D,3,0),0)</f>
        <v>0</v>
      </c>
      <c r="H28" s="14">
        <f ca="1">IFERROR(VLOOKUP(E28,'דוח ביצוע'!B:E,4,0),0)</f>
        <v>0</v>
      </c>
      <c r="I28" s="15">
        <f t="shared" ca="1" si="1"/>
        <v>0</v>
      </c>
      <c r="J28" s="14" t="str">
        <f ca="1">IFERROR(VLOOKUP(E28,'דוח ביצוע'!$B$3:$G$36,6,0),"")</f>
        <v/>
      </c>
      <c r="K28" s="14" t="str">
        <f ca="1">IFERROR(VLOOKUP(E28,'דוח ביצוע'!$B$3:$H$36,7,0),"")</f>
        <v/>
      </c>
      <c r="L28" s="15">
        <f t="shared" ca="1" si="2"/>
        <v>0</v>
      </c>
      <c r="M28" s="16"/>
      <c r="N28" s="17"/>
    </row>
    <row r="29" spans="1:14" ht="18" customHeight="1" x14ac:dyDescent="0.2">
      <c r="A29" s="11"/>
      <c r="B29" s="11">
        <v>21</v>
      </c>
      <c r="C29" s="11"/>
      <c r="E29" s="12">
        <f t="shared" si="0"/>
        <v>44490</v>
      </c>
      <c r="F29" s="13" t="str">
        <f>VLOOKUP(MOD(E29,7),$P$9:Q35,2)</f>
        <v>חמישי</v>
      </c>
      <c r="G29" s="14">
        <f ca="1">IFERROR(VLOOKUP(E29,'דוח ביצוע'!B:D,3,0),0)</f>
        <v>0</v>
      </c>
      <c r="H29" s="14">
        <f ca="1">IFERROR(VLOOKUP(E29,'דוח ביצוע'!B:E,4,0),0)</f>
        <v>0</v>
      </c>
      <c r="I29" s="15">
        <f t="shared" ca="1" si="1"/>
        <v>0</v>
      </c>
      <c r="J29" s="14" t="str">
        <f ca="1">IFERROR(VLOOKUP(E29,'דוח ביצוע'!$B$3:$G$36,6,0),"")</f>
        <v/>
      </c>
      <c r="K29" s="14" t="str">
        <f ca="1">IFERROR(VLOOKUP(E29,'דוח ביצוע'!$B$3:$H$36,7,0),"")</f>
        <v/>
      </c>
      <c r="L29" s="15">
        <f t="shared" ca="1" si="2"/>
        <v>0</v>
      </c>
      <c r="M29" s="16"/>
      <c r="N29" s="17"/>
    </row>
    <row r="30" spans="1:14" ht="18" customHeight="1" x14ac:dyDescent="0.2">
      <c r="A30" s="11"/>
      <c r="B30" s="11">
        <v>22</v>
      </c>
      <c r="C30" s="11"/>
      <c r="E30" s="12">
        <f t="shared" si="0"/>
        <v>44491</v>
      </c>
      <c r="F30" s="13" t="str">
        <f>VLOOKUP(MOD(E30,7),$P$9:Q36,2)</f>
        <v>שישי</v>
      </c>
      <c r="G30" s="14"/>
      <c r="H30" s="14"/>
      <c r="I30" s="15">
        <f t="shared" si="1"/>
        <v>0</v>
      </c>
      <c r="J30" s="14" t="str">
        <f ca="1">IFERROR(VLOOKUP(E30,'דוח ביצוע'!$B$3:$G$36,6,0),"")</f>
        <v/>
      </c>
      <c r="K30" s="14" t="str">
        <f ca="1">IFERROR(VLOOKUP(E30,'דוח ביצוע'!$B$3:$H$36,7,0),"")</f>
        <v/>
      </c>
      <c r="L30" s="15">
        <f t="shared" ca="1" si="2"/>
        <v>0</v>
      </c>
      <c r="M30" s="16"/>
      <c r="N30" s="17"/>
    </row>
    <row r="31" spans="1:14" ht="18" customHeight="1" x14ac:dyDescent="0.2">
      <c r="A31" s="11"/>
      <c r="B31" s="11">
        <v>23</v>
      </c>
      <c r="C31" s="11"/>
      <c r="E31" s="12">
        <f t="shared" si="0"/>
        <v>44492</v>
      </c>
      <c r="F31" s="13" t="str">
        <f>VLOOKUP(MOD(E31,7),$P$9:Q37,2)</f>
        <v>שבת</v>
      </c>
      <c r="G31" s="14"/>
      <c r="H31" s="14"/>
      <c r="I31" s="15">
        <f t="shared" si="1"/>
        <v>0</v>
      </c>
      <c r="J31" s="14" t="str">
        <f ca="1">IFERROR(VLOOKUP(E31,'דוח ביצוע'!$B$3:$G$36,6,0),"")</f>
        <v/>
      </c>
      <c r="K31" s="14" t="str">
        <f ca="1">IFERROR(VLOOKUP(E31,'דוח ביצוע'!$B$3:$H$36,7,0),"")</f>
        <v/>
      </c>
      <c r="L31" s="15">
        <f t="shared" ca="1" si="2"/>
        <v>0</v>
      </c>
      <c r="M31" s="16"/>
      <c r="N31" s="17"/>
    </row>
    <row r="32" spans="1:14" ht="18" customHeight="1" x14ac:dyDescent="0.2">
      <c r="A32" s="11"/>
      <c r="B32" s="11">
        <v>24</v>
      </c>
      <c r="C32" s="11"/>
      <c r="E32" s="12">
        <f t="shared" si="0"/>
        <v>44493</v>
      </c>
      <c r="F32" s="13" t="str">
        <f>VLOOKUP(MOD(E32,7),$P$9:Q38,2)</f>
        <v>ראשון</v>
      </c>
      <c r="G32" s="14">
        <f ca="1">IFERROR(VLOOKUP(E32,'דוח ביצוע'!B:D,3,0),0)</f>
        <v>0</v>
      </c>
      <c r="H32" s="14">
        <f ca="1">IFERROR(VLOOKUP(E32,'דוח ביצוע'!B:E,4,0),0)</f>
        <v>0</v>
      </c>
      <c r="I32" s="15">
        <f t="shared" ca="1" si="1"/>
        <v>0</v>
      </c>
      <c r="J32" s="14" t="str">
        <f ca="1">IFERROR(VLOOKUP(E32,'דוח ביצוע'!$B$3:$G$36,6,0),"")</f>
        <v/>
      </c>
      <c r="K32" s="14" t="str">
        <f ca="1">IFERROR(VLOOKUP(E32,'דוח ביצוע'!$B$3:$H$36,7,0),"")</f>
        <v/>
      </c>
      <c r="L32" s="15">
        <f t="shared" ca="1" si="2"/>
        <v>0</v>
      </c>
      <c r="M32" s="16"/>
      <c r="N32" s="17"/>
    </row>
    <row r="33" spans="1:17" ht="18" customHeight="1" x14ac:dyDescent="0.2">
      <c r="A33" s="11"/>
      <c r="B33" s="11">
        <v>25</v>
      </c>
      <c r="C33" s="11"/>
      <c r="E33" s="12">
        <f t="shared" si="0"/>
        <v>44494</v>
      </c>
      <c r="F33" s="13" t="str">
        <f>VLOOKUP(MOD(E33,7),$P$9:Q39,2)</f>
        <v>שני</v>
      </c>
      <c r="G33" s="14">
        <f ca="1">IFERROR(VLOOKUP(E33,'דוח ביצוע'!B:D,3,0),0)</f>
        <v>0</v>
      </c>
      <c r="H33" s="14">
        <f ca="1">IFERROR(VLOOKUP(E33,'דוח ביצוע'!B:E,4,0),0)</f>
        <v>0</v>
      </c>
      <c r="I33" s="15">
        <f t="shared" ca="1" si="1"/>
        <v>0</v>
      </c>
      <c r="J33" s="14" t="str">
        <f ca="1">IFERROR(VLOOKUP(E33,'דוח ביצוע'!$B$3:$G$36,6,0),"")</f>
        <v/>
      </c>
      <c r="K33" s="14" t="str">
        <f ca="1">IFERROR(VLOOKUP(E33,'דוח ביצוע'!$B$3:$H$36,7,0),"")</f>
        <v/>
      </c>
      <c r="L33" s="15">
        <f t="shared" ca="1" si="2"/>
        <v>0</v>
      </c>
      <c r="M33" s="16"/>
      <c r="N33" s="17"/>
    </row>
    <row r="34" spans="1:17" ht="18" customHeight="1" x14ac:dyDescent="0.2">
      <c r="A34" s="11"/>
      <c r="B34" s="11">
        <v>26</v>
      </c>
      <c r="C34" s="11"/>
      <c r="E34" s="12">
        <f t="shared" si="0"/>
        <v>44495</v>
      </c>
      <c r="F34" s="13" t="str">
        <f>VLOOKUP(MOD(E34,7),$P$9:Q42,2)</f>
        <v>שלישי</v>
      </c>
      <c r="G34" s="14">
        <f ca="1">IFERROR(VLOOKUP(E34,'דוח ביצוע'!B:D,3,0),0)</f>
        <v>0</v>
      </c>
      <c r="H34" s="14">
        <f ca="1">IFERROR(VLOOKUP(E34,'דוח ביצוע'!B:E,4,0),0)</f>
        <v>0</v>
      </c>
      <c r="I34" s="15">
        <f t="shared" ca="1" si="1"/>
        <v>0</v>
      </c>
      <c r="J34" s="14" t="str">
        <f ca="1">IFERROR(VLOOKUP(E34,'דוח ביצוע'!$B$3:$G$36,6,0),"")</f>
        <v/>
      </c>
      <c r="K34" s="14" t="str">
        <f ca="1">IFERROR(VLOOKUP(E34,'דוח ביצוע'!$B$3:$H$36,7,0),"")</f>
        <v/>
      </c>
      <c r="L34" s="15">
        <f t="shared" ca="1" si="2"/>
        <v>0</v>
      </c>
      <c r="M34" s="16"/>
      <c r="N34" s="17"/>
    </row>
    <row r="35" spans="1:17" ht="18" customHeight="1" x14ac:dyDescent="0.2">
      <c r="A35" s="11"/>
      <c r="B35" s="11">
        <v>27</v>
      </c>
      <c r="C35" s="11"/>
      <c r="E35" s="12">
        <f t="shared" si="0"/>
        <v>44496</v>
      </c>
      <c r="F35" s="13" t="str">
        <f>VLOOKUP(MOD(E35,7),$P$9:Q42,2)</f>
        <v>רביעי</v>
      </c>
      <c r="G35" s="14">
        <f ca="1">IFERROR(VLOOKUP(E35,'דוח ביצוע'!B:D,3,0),0)</f>
        <v>0</v>
      </c>
      <c r="H35" s="14">
        <f ca="1">IFERROR(VLOOKUP(E35,'דוח ביצוע'!B:E,4,0),0)</f>
        <v>0</v>
      </c>
      <c r="I35" s="15">
        <f t="shared" ca="1" si="1"/>
        <v>0</v>
      </c>
      <c r="J35" s="14" t="str">
        <f ca="1">IFERROR(VLOOKUP(E35,'דוח ביצוע'!$B$3:$G$36,6,0),"")</f>
        <v/>
      </c>
      <c r="K35" s="14" t="str">
        <f ca="1">IFERROR(VLOOKUP(E35,'דוח ביצוע'!$B$3:$H$36,7,0),"")</f>
        <v/>
      </c>
      <c r="L35" s="15">
        <f t="shared" ca="1" si="2"/>
        <v>0</v>
      </c>
      <c r="M35" s="16"/>
      <c r="N35" s="17"/>
    </row>
    <row r="36" spans="1:17" ht="18" customHeight="1" x14ac:dyDescent="0.2">
      <c r="A36" s="11"/>
      <c r="B36" s="11">
        <v>28</v>
      </c>
      <c r="C36" s="11"/>
      <c r="E36" s="12">
        <f t="shared" si="0"/>
        <v>44497</v>
      </c>
      <c r="F36" s="13" t="str">
        <f>VLOOKUP(MOD(E36,7),$P$9:Q42,2)</f>
        <v>חמישי</v>
      </c>
      <c r="G36" s="14">
        <f ca="1">IFERROR(VLOOKUP(E36,'דוח ביצוע'!B:D,3,0),0)</f>
        <v>0</v>
      </c>
      <c r="H36" s="14">
        <f ca="1">IFERROR(VLOOKUP(E36,'דוח ביצוע'!B:E,4,0),0)</f>
        <v>0</v>
      </c>
      <c r="I36" s="15">
        <f t="shared" ca="1" si="1"/>
        <v>0</v>
      </c>
      <c r="J36" s="14" t="str">
        <f ca="1">IFERROR(VLOOKUP(E36,'דוח ביצוע'!$B$3:$G$36,6,0),"")</f>
        <v/>
      </c>
      <c r="K36" s="14" t="str">
        <f ca="1">IFERROR(VLOOKUP(E36,'דוח ביצוע'!$B$3:$H$36,7,0),"")</f>
        <v/>
      </c>
      <c r="L36" s="15">
        <f t="shared" ca="1" si="2"/>
        <v>0</v>
      </c>
      <c r="M36" s="16"/>
      <c r="N36" s="17"/>
      <c r="P36" s="19"/>
    </row>
    <row r="37" spans="1:17" ht="18" customHeight="1" x14ac:dyDescent="0.2">
      <c r="A37" s="12">
        <f>DATE($F$3,$F$4,B37)</f>
        <v>44498</v>
      </c>
      <c r="B37" s="11">
        <v>29</v>
      </c>
      <c r="C37" s="11" t="b">
        <f>+MONTH(E36)=MONTH(A37)</f>
        <v>1</v>
      </c>
      <c r="E37" s="12">
        <f>IF(C37=TRUE,DATE($F$3,$F$4,B37),0)</f>
        <v>44498</v>
      </c>
      <c r="F37" s="13" t="str">
        <f>IF(C37=TRUE,VLOOKUP(MOD(E37,7),$P$9:Q42,2),0)</f>
        <v>שישי</v>
      </c>
      <c r="G37" s="14"/>
      <c r="H37" s="14"/>
      <c r="I37" s="15">
        <f t="shared" si="1"/>
        <v>0</v>
      </c>
      <c r="J37" s="14" t="str">
        <f ca="1">IFERROR(VLOOKUP(E37,'דוח ביצוע'!$B$3:$G$36,6,0),"")</f>
        <v/>
      </c>
      <c r="K37" s="14" t="str">
        <f ca="1">IFERROR(VLOOKUP(E37,'דוח ביצוע'!$B$3:$H$36,7,0),"")</f>
        <v/>
      </c>
      <c r="L37" s="15">
        <f t="shared" ca="1" si="2"/>
        <v>0</v>
      </c>
      <c r="M37" s="16"/>
      <c r="N37" s="17"/>
      <c r="P37" s="19"/>
      <c r="Q37" s="20"/>
    </row>
    <row r="38" spans="1:17" ht="18" customHeight="1" x14ac:dyDescent="0.2">
      <c r="A38" s="12">
        <f>DATE($F$3,$F$4,B38)</f>
        <v>44499</v>
      </c>
      <c r="B38" s="11">
        <v>30</v>
      </c>
      <c r="C38" s="11" t="b">
        <f>+MONTH(E36)=MONTH(A38)</f>
        <v>1</v>
      </c>
      <c r="E38" s="12">
        <f>IF(C38=TRUE,DATE($F$3,$F$4,B38),0)</f>
        <v>44499</v>
      </c>
      <c r="F38" s="13" t="str">
        <f>IF(C38=TRUE,VLOOKUP(MOD(E38,7),$P$9:Q43,2),0)</f>
        <v>שבת</v>
      </c>
      <c r="G38" s="14"/>
      <c r="H38" s="14"/>
      <c r="I38" s="15">
        <f t="shared" si="1"/>
        <v>0</v>
      </c>
      <c r="J38" s="14" t="str">
        <f ca="1">IFERROR(VLOOKUP(E38,'דוח ביצוע'!$B$3:$G$36,6,0),"")</f>
        <v/>
      </c>
      <c r="K38" s="14" t="str">
        <f ca="1">IFERROR(VLOOKUP(E38,'דוח ביצוע'!$B$3:$H$36,7,0),"")</f>
        <v/>
      </c>
      <c r="L38" s="15">
        <f t="shared" ca="1" si="2"/>
        <v>0</v>
      </c>
      <c r="M38" s="16"/>
      <c r="N38" s="17"/>
      <c r="P38" s="19"/>
    </row>
    <row r="39" spans="1:17" ht="18" customHeight="1" x14ac:dyDescent="0.2">
      <c r="A39" s="12">
        <f>DATE($F$3,$F$4,B39)</f>
        <v>44500</v>
      </c>
      <c r="B39" s="11">
        <v>31</v>
      </c>
      <c r="C39" s="11" t="b">
        <f>+MONTH(E36)=MONTH(A39)</f>
        <v>1</v>
      </c>
      <c r="E39" s="12">
        <f>IF(C39=TRUE,DATE($F$3,$F$4,B39),0)</f>
        <v>44500</v>
      </c>
      <c r="F39" s="13" t="str">
        <f>IF(C39=TRUE,VLOOKUP(MOD(E39,7),$P$9:Q44,2),0)</f>
        <v>ראשון</v>
      </c>
      <c r="G39" s="14">
        <f ca="1">IFERROR(VLOOKUP(E39,'דוח ביצוע'!B:D,3,0),0)</f>
        <v>0</v>
      </c>
      <c r="H39" s="14">
        <f ca="1">IFERROR(VLOOKUP(E39,'דוח ביצוע'!B:E,4,0),0)</f>
        <v>0</v>
      </c>
      <c r="I39" s="15">
        <f t="shared" ca="1" si="1"/>
        <v>0</v>
      </c>
      <c r="J39" s="14" t="str">
        <f ca="1">IFERROR(VLOOKUP(E39,'דוח ביצוע'!$B$3:$G$36,6,0),"")</f>
        <v/>
      </c>
      <c r="K39" s="14" t="str">
        <f ca="1">IFERROR(VLOOKUP(E39,'דוח ביצוע'!$B$3:$H$36,7,0),"")</f>
        <v/>
      </c>
      <c r="L39" s="15">
        <f t="shared" ca="1" si="2"/>
        <v>0</v>
      </c>
      <c r="M39" s="16"/>
      <c r="N39" s="17"/>
      <c r="P39" s="19"/>
    </row>
    <row r="40" spans="1:17" ht="18" customHeight="1" x14ac:dyDescent="0.2">
      <c r="E40" s="21"/>
      <c r="F40" s="22"/>
      <c r="G40" s="23"/>
      <c r="H40" s="23"/>
      <c r="I40" s="24"/>
      <c r="J40" s="23"/>
      <c r="K40" s="23"/>
      <c r="L40" s="24"/>
      <c r="M40" s="25"/>
      <c r="N40" s="10"/>
    </row>
    <row r="41" spans="1:17" ht="18" customHeight="1" x14ac:dyDescent="0.2">
      <c r="F41" s="22"/>
      <c r="G41" s="23"/>
      <c r="H41" s="23"/>
      <c r="I41" s="24"/>
      <c r="J41" s="23"/>
      <c r="K41" s="23"/>
      <c r="L41" s="24"/>
      <c r="M41" s="25"/>
      <c r="N41" s="10"/>
    </row>
    <row r="42" spans="1:17" s="2" customFormat="1" ht="24.95" customHeight="1" x14ac:dyDescent="0.2">
      <c r="G42" s="146" t="s">
        <v>22</v>
      </c>
      <c r="H42" s="147"/>
      <c r="I42" s="26">
        <f ca="1">SUM(I9:I39)</f>
        <v>0</v>
      </c>
      <c r="L42" s="148" t="s">
        <v>23</v>
      </c>
      <c r="M42" s="149"/>
      <c r="N42" s="27"/>
      <c r="O42" s="28"/>
    </row>
    <row r="43" spans="1:17" s="2" customFormat="1" ht="24.95" customHeight="1" x14ac:dyDescent="0.15">
      <c r="G43" s="146" t="s">
        <v>24</v>
      </c>
      <c r="H43" s="147"/>
      <c r="I43" s="26">
        <f ca="1">SUM(L9:L39)</f>
        <v>0</v>
      </c>
      <c r="L43" s="148" t="s">
        <v>25</v>
      </c>
      <c r="M43" s="149"/>
      <c r="N43" s="17"/>
      <c r="O43" s="28"/>
    </row>
    <row r="44" spans="1:17" s="2" customFormat="1" ht="24.95" customHeight="1" x14ac:dyDescent="0.15">
      <c r="G44" s="146" t="s">
        <v>26</v>
      </c>
      <c r="H44" s="147"/>
      <c r="I44" s="29">
        <f>COUNTA(M9:M39)</f>
        <v>0</v>
      </c>
      <c r="L44" s="148" t="s">
        <v>27</v>
      </c>
      <c r="M44" s="149"/>
      <c r="N44" s="17"/>
      <c r="O44" s="28"/>
    </row>
    <row r="45" spans="1:17" ht="18" customHeight="1" x14ac:dyDescent="0.2"/>
  </sheetData>
  <mergeCells count="10">
    <mergeCell ref="G43:H43"/>
    <mergeCell ref="L43:M43"/>
    <mergeCell ref="G44:H44"/>
    <mergeCell ref="L44:M44"/>
    <mergeCell ref="I3:K3"/>
    <mergeCell ref="I4:K4"/>
    <mergeCell ref="G7:I7"/>
    <mergeCell ref="J7:L7"/>
    <mergeCell ref="G42:H42"/>
    <mergeCell ref="L42:M42"/>
  </mergeCells>
  <dataValidations count="5">
    <dataValidation type="list" allowBlank="1" showInputMessage="1" showErrorMessage="1" sqref="M9:M41" xr:uid="{00000000-0002-0000-0C00-000000000000}">
      <formula1>$R$9:$R$10</formula1>
    </dataValidation>
    <dataValidation type="time" allowBlank="1" showInputMessage="1" showErrorMessage="1" sqref="J40:K41 G9:H41" xr:uid="{00000000-0002-0000-0C00-000001000000}">
      <formula1>0</formula1>
      <formula2>0.999305555555556</formula2>
    </dataValidation>
    <dataValidation type="whole" allowBlank="1" showInputMessage="1" showErrorMessage="1" sqref="F3" xr:uid="{00000000-0002-0000-0C00-000002000000}">
      <formula1>2002</formula1>
      <formula2>2100</formula2>
    </dataValidation>
    <dataValidation type="whole" allowBlank="1" showInputMessage="1" showErrorMessage="1" sqref="F4" xr:uid="{00000000-0002-0000-0C00-000003000000}">
      <formula1>1</formula1>
      <formula2>12</formula2>
    </dataValidation>
    <dataValidation type="whole" allowBlank="1" showInputMessage="1" showErrorMessage="1" sqref="F5" xr:uid="{00000000-0002-0000-0C00-000004000000}">
      <formula1>150</formula1>
      <formula2>216</formula2>
    </dataValidation>
  </dataValidations>
  <pageMargins left="0.7" right="0.7" top="0.75" bottom="0.75" header="0.3" footer="0.3"/>
  <pageSetup paperSize="9" scale="82" orientation="portrait" r:id="rId1"/>
  <ignoredErrors>
    <ignoredError sqref="H12:H15 H19:H22 H26:H29 H33:H36 H39 H11 H18 H25 H32" unlockedFormula="1"/>
  </ignoredErrors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גיליון12">
    <pageSetUpPr fitToPage="1"/>
  </sheetPr>
  <dimension ref="A1:R44"/>
  <sheetViews>
    <sheetView rightToLeft="1" topLeftCell="D1" zoomScaleNormal="100" workbookViewId="0">
      <selection activeCell="W28" sqref="W28"/>
    </sheetView>
  </sheetViews>
  <sheetFormatPr defaultColWidth="9.140625" defaultRowHeight="12.75" x14ac:dyDescent="0.2"/>
  <cols>
    <col min="1" max="3" width="3.42578125" style="1" hidden="1" customWidth="1"/>
    <col min="4" max="4" width="2.85546875" style="1" customWidth="1"/>
    <col min="5" max="5" width="12.28515625" style="1" customWidth="1"/>
    <col min="6" max="6" width="9.28515625" style="1" customWidth="1"/>
    <col min="7" max="7" width="7.42578125" style="1" customWidth="1"/>
    <col min="8" max="8" width="11.140625" style="1" customWidth="1"/>
    <col min="9" max="12" width="8.7109375" style="1" customWidth="1"/>
    <col min="13" max="13" width="11.7109375" style="1" customWidth="1"/>
    <col min="14" max="14" width="19.42578125" style="1" customWidth="1"/>
    <col min="15" max="15" width="2.28515625" style="1" hidden="1" customWidth="1"/>
    <col min="16" max="16" width="2.42578125" style="1" hidden="1" customWidth="1"/>
    <col min="17" max="17" width="8.28515625" style="1" hidden="1" customWidth="1"/>
    <col min="18" max="18" width="2.5703125" style="1" hidden="1" customWidth="1"/>
    <col min="19" max="19" width="0" style="1" hidden="1" customWidth="1"/>
    <col min="20" max="16384" width="9.140625" style="1"/>
  </cols>
  <sheetData>
    <row r="1" spans="1:18" ht="15.95" customHeight="1" x14ac:dyDescent="0.2"/>
    <row r="2" spans="1:18" ht="15.95" customHeight="1" x14ac:dyDescent="0.2"/>
    <row r="3" spans="1:18" s="2" customFormat="1" ht="21.95" customHeight="1" x14ac:dyDescent="0.2">
      <c r="E3" s="3" t="s">
        <v>0</v>
      </c>
      <c r="F3" s="4">
        <v>2021</v>
      </c>
      <c r="H3" s="3" t="s">
        <v>1</v>
      </c>
      <c r="I3" s="150"/>
      <c r="J3" s="151"/>
      <c r="K3" s="152"/>
    </row>
    <row r="4" spans="1:18" s="2" customFormat="1" ht="21.95" customHeight="1" x14ac:dyDescent="0.2">
      <c r="E4" s="3" t="s">
        <v>2</v>
      </c>
      <c r="F4" s="4">
        <v>11</v>
      </c>
      <c r="H4" s="3" t="s">
        <v>3</v>
      </c>
      <c r="I4" s="150"/>
      <c r="J4" s="151"/>
      <c r="K4" s="152"/>
    </row>
    <row r="5" spans="1:18" s="2" customFormat="1" ht="21.95" customHeight="1" x14ac:dyDescent="0.2">
      <c r="E5" s="5" t="s">
        <v>4</v>
      </c>
      <c r="F5" s="4"/>
      <c r="H5" s="6"/>
      <c r="I5" s="7"/>
      <c r="J5" s="7"/>
      <c r="K5" s="7"/>
    </row>
    <row r="6" spans="1:18" ht="18" customHeight="1" x14ac:dyDescent="0.2"/>
    <row r="7" spans="1:18" ht="18" customHeight="1" x14ac:dyDescent="0.2">
      <c r="G7" s="153" t="s">
        <v>5</v>
      </c>
      <c r="H7" s="153"/>
      <c r="I7" s="153"/>
      <c r="J7" s="153" t="s">
        <v>6</v>
      </c>
      <c r="K7" s="153"/>
      <c r="L7" s="153"/>
    </row>
    <row r="8" spans="1:18" ht="34.5" x14ac:dyDescent="0.2">
      <c r="E8" s="8" t="s">
        <v>7</v>
      </c>
      <c r="F8" s="8" t="s">
        <v>8</v>
      </c>
      <c r="G8" s="8" t="s">
        <v>9</v>
      </c>
      <c r="H8" s="8" t="s">
        <v>10</v>
      </c>
      <c r="I8" s="8" t="s">
        <v>11</v>
      </c>
      <c r="J8" s="8" t="s">
        <v>9</v>
      </c>
      <c r="K8" s="8" t="s">
        <v>10</v>
      </c>
      <c r="L8" s="8" t="s">
        <v>11</v>
      </c>
      <c r="M8" s="8" t="s">
        <v>12</v>
      </c>
      <c r="N8" s="8" t="s">
        <v>13</v>
      </c>
      <c r="Q8" s="9" t="s">
        <v>8</v>
      </c>
      <c r="R8" s="10"/>
    </row>
    <row r="9" spans="1:18" ht="18" customHeight="1" x14ac:dyDescent="0.2">
      <c r="A9" s="11"/>
      <c r="B9" s="11">
        <v>1</v>
      </c>
      <c r="C9" s="11"/>
      <c r="E9" s="12">
        <f>DATE($F$3,$F$4,B9)</f>
        <v>44501</v>
      </c>
      <c r="F9" s="13" t="str">
        <f>VLOOKUP(MOD(E9,7),$P$9:Q15,2)</f>
        <v>שני</v>
      </c>
      <c r="G9" s="14">
        <f ca="1">IFERROR(VLOOKUP(E9,'דוח ביצוע'!B:D,3,0),0)</f>
        <v>0</v>
      </c>
      <c r="H9" s="14">
        <f ca="1">IFERROR(VLOOKUP(E9,'דוח ביצוע'!B:E,4,0),0)</f>
        <v>0</v>
      </c>
      <c r="I9" s="15">
        <f ca="1">IFERROR(24*(H9-G9),"")</f>
        <v>0</v>
      </c>
      <c r="J9" s="14" t="str">
        <f ca="1">IFERROR(VLOOKUP(E9,'דוח ביצוע'!$B$3:$G$36,6,0),"")</f>
        <v/>
      </c>
      <c r="K9" s="14" t="str">
        <f ca="1">IFERROR(VLOOKUP(E9,'דוח ביצוע'!$B$3:$H$36,7,0),"")</f>
        <v/>
      </c>
      <c r="L9" s="15">
        <f ca="1">IFERROR(24*(K9-J9),0)</f>
        <v>0</v>
      </c>
      <c r="M9" s="16"/>
      <c r="N9" s="17"/>
      <c r="P9" s="1">
        <v>0</v>
      </c>
      <c r="Q9" s="1" t="s">
        <v>14</v>
      </c>
      <c r="R9" s="18" t="s">
        <v>15</v>
      </c>
    </row>
    <row r="10" spans="1:18" ht="18" customHeight="1" x14ac:dyDescent="0.2">
      <c r="A10" s="11"/>
      <c r="B10" s="11">
        <v>2</v>
      </c>
      <c r="C10" s="11"/>
      <c r="E10" s="12">
        <f t="shared" ref="E10:E36" si="0">DATE($F$3,$F$4,B10)</f>
        <v>44502</v>
      </c>
      <c r="F10" s="13" t="str">
        <f>VLOOKUP(MOD(E10,7),$P$9:Q16,2)</f>
        <v>שלישי</v>
      </c>
      <c r="G10" s="14">
        <f ca="1">IFERROR(VLOOKUP(E10,'דוח ביצוע'!B:D,3,0),0)</f>
        <v>0</v>
      </c>
      <c r="H10" s="14">
        <f ca="1">IFERROR(VLOOKUP(E10,'דוח ביצוע'!B:E,4,0),0)</f>
        <v>0</v>
      </c>
      <c r="I10" s="15">
        <f t="shared" ref="I10:I38" ca="1" si="1">IFERROR(24*(H10-G10),"")</f>
        <v>0</v>
      </c>
      <c r="J10" s="14" t="str">
        <f ca="1">IFERROR(VLOOKUP(E10,'דוח ביצוע'!$B$3:$G$36,6,0),"")</f>
        <v/>
      </c>
      <c r="K10" s="14" t="str">
        <f ca="1">IFERROR(VLOOKUP(E10,'דוח ביצוע'!$B$3:$H$36,7,0),"")</f>
        <v/>
      </c>
      <c r="L10" s="15">
        <f t="shared" ref="L10:L38" ca="1" si="2">IFERROR(24*(K10-J10),0)</f>
        <v>0</v>
      </c>
      <c r="M10" s="16"/>
      <c r="N10" s="17"/>
      <c r="P10" s="1">
        <v>1</v>
      </c>
      <c r="Q10" s="1" t="s">
        <v>16</v>
      </c>
    </row>
    <row r="11" spans="1:18" ht="18" customHeight="1" x14ac:dyDescent="0.2">
      <c r="A11" s="11"/>
      <c r="B11" s="11">
        <v>3</v>
      </c>
      <c r="C11" s="11"/>
      <c r="E11" s="12">
        <f t="shared" si="0"/>
        <v>44503</v>
      </c>
      <c r="F11" s="13" t="str">
        <f>VLOOKUP(MOD(E11,7),$P$9:Q17,2)</f>
        <v>רביעי</v>
      </c>
      <c r="G11" s="14">
        <f ca="1">IFERROR(VLOOKUP(E11,'דוח ביצוע'!B:D,3,0),0)</f>
        <v>0</v>
      </c>
      <c r="H11" s="14">
        <f ca="1">IFERROR(VLOOKUP(E11,'דוח ביצוע'!B:E,4,0),0)</f>
        <v>0</v>
      </c>
      <c r="I11" s="15">
        <f t="shared" ca="1" si="1"/>
        <v>0</v>
      </c>
      <c r="J11" s="14" t="str">
        <f ca="1">IFERROR(VLOOKUP(E11,'דוח ביצוע'!$B$3:$G$36,6,0),"")</f>
        <v/>
      </c>
      <c r="K11" s="14" t="str">
        <f ca="1">IFERROR(VLOOKUP(E11,'דוח ביצוע'!$B$3:$H$36,7,0),"")</f>
        <v/>
      </c>
      <c r="L11" s="15">
        <f t="shared" ca="1" si="2"/>
        <v>0</v>
      </c>
      <c r="M11" s="16"/>
      <c r="N11" s="17"/>
      <c r="P11" s="1">
        <v>2</v>
      </c>
      <c r="Q11" s="1" t="s">
        <v>17</v>
      </c>
    </row>
    <row r="12" spans="1:18" ht="18" customHeight="1" x14ac:dyDescent="0.2">
      <c r="A12" s="11"/>
      <c r="B12" s="11">
        <v>4</v>
      </c>
      <c r="C12" s="11"/>
      <c r="E12" s="12">
        <f t="shared" si="0"/>
        <v>44504</v>
      </c>
      <c r="F12" s="13" t="str">
        <f>VLOOKUP(MOD(E12,7),$P$9:Q18,2)</f>
        <v>חמישי</v>
      </c>
      <c r="G12" s="14">
        <f ca="1">IFERROR(VLOOKUP(E12,'דוח ביצוע'!B:D,3,0),0)</f>
        <v>0</v>
      </c>
      <c r="H12" s="14">
        <f ca="1">IFERROR(VLOOKUP(E12,'דוח ביצוע'!B:E,4,0),0)</f>
        <v>0</v>
      </c>
      <c r="I12" s="15">
        <f t="shared" ca="1" si="1"/>
        <v>0</v>
      </c>
      <c r="J12" s="14" t="str">
        <f ca="1">IFERROR(VLOOKUP(E12,'דוח ביצוע'!$B$3:$G$36,6,0),"")</f>
        <v/>
      </c>
      <c r="K12" s="14" t="str">
        <f ca="1">IFERROR(VLOOKUP(E12,'דוח ביצוע'!$B$3:$H$36,7,0),"")</f>
        <v/>
      </c>
      <c r="L12" s="15">
        <f t="shared" ca="1" si="2"/>
        <v>0</v>
      </c>
      <c r="M12" s="16"/>
      <c r="N12" s="17"/>
      <c r="P12" s="1">
        <v>3</v>
      </c>
      <c r="Q12" s="1" t="s">
        <v>18</v>
      </c>
    </row>
    <row r="13" spans="1:18" ht="18" customHeight="1" x14ac:dyDescent="0.2">
      <c r="A13" s="11"/>
      <c r="B13" s="11">
        <v>5</v>
      </c>
      <c r="C13" s="11"/>
      <c r="E13" s="12">
        <f t="shared" si="0"/>
        <v>44505</v>
      </c>
      <c r="F13" s="13" t="str">
        <f>VLOOKUP(MOD(E13,7),$P$9:Q19,2)</f>
        <v>שישי</v>
      </c>
      <c r="G13" s="14"/>
      <c r="H13" s="14"/>
      <c r="I13" s="15">
        <f t="shared" si="1"/>
        <v>0</v>
      </c>
      <c r="J13" s="14" t="str">
        <f ca="1">IFERROR(VLOOKUP(E13,'דוח ביצוע'!$B$3:$G$36,6,0),"")</f>
        <v/>
      </c>
      <c r="K13" s="14" t="str">
        <f ca="1">IFERROR(VLOOKUP(E13,'דוח ביצוע'!$B$3:$H$36,7,0),"")</f>
        <v/>
      </c>
      <c r="L13" s="15">
        <f t="shared" ca="1" si="2"/>
        <v>0</v>
      </c>
      <c r="M13" s="16"/>
      <c r="N13" s="17"/>
      <c r="P13" s="1">
        <v>4</v>
      </c>
      <c r="Q13" s="1" t="s">
        <v>19</v>
      </c>
    </row>
    <row r="14" spans="1:18" ht="18" customHeight="1" x14ac:dyDescent="0.2">
      <c r="A14" s="11"/>
      <c r="B14" s="11">
        <v>6</v>
      </c>
      <c r="C14" s="11"/>
      <c r="E14" s="12">
        <f t="shared" si="0"/>
        <v>44506</v>
      </c>
      <c r="F14" s="13" t="str">
        <f>VLOOKUP(MOD(E14,7),$P$9:Q20,2)</f>
        <v>שבת</v>
      </c>
      <c r="G14" s="14"/>
      <c r="H14" s="14"/>
      <c r="I14" s="15">
        <f t="shared" si="1"/>
        <v>0</v>
      </c>
      <c r="J14" s="14" t="str">
        <f ca="1">IFERROR(VLOOKUP(E14,'דוח ביצוע'!$B$3:$G$36,6,0),"")</f>
        <v/>
      </c>
      <c r="K14" s="14" t="str">
        <f ca="1">IFERROR(VLOOKUP(E14,'דוח ביצוע'!$B$3:$H$36,7,0),"")</f>
        <v/>
      </c>
      <c r="L14" s="15">
        <f t="shared" ca="1" si="2"/>
        <v>0</v>
      </c>
      <c r="M14" s="16"/>
      <c r="N14" s="17"/>
      <c r="P14" s="1">
        <v>5</v>
      </c>
      <c r="Q14" s="1" t="s">
        <v>20</v>
      </c>
    </row>
    <row r="15" spans="1:18" ht="18" customHeight="1" x14ac:dyDescent="0.2">
      <c r="A15" s="11"/>
      <c r="B15" s="11">
        <v>7</v>
      </c>
      <c r="C15" s="11"/>
      <c r="E15" s="12">
        <f t="shared" si="0"/>
        <v>44507</v>
      </c>
      <c r="F15" s="13" t="str">
        <f>VLOOKUP(MOD(E15,7),$P$9:Q21,2)</f>
        <v>ראשון</v>
      </c>
      <c r="G15" s="14">
        <f ca="1">IFERROR(VLOOKUP(E15,'דוח ביצוע'!B:D,3,0),0)</f>
        <v>0</v>
      </c>
      <c r="H15" s="14">
        <f ca="1">IFERROR(VLOOKUP(E15,'דוח ביצוע'!B:E,4,0),0)</f>
        <v>0</v>
      </c>
      <c r="I15" s="15">
        <f t="shared" ca="1" si="1"/>
        <v>0</v>
      </c>
      <c r="J15" s="14" t="str">
        <f ca="1">IFERROR(VLOOKUP(E15,'דוח ביצוע'!$B$3:$G$36,6,0),"")</f>
        <v/>
      </c>
      <c r="K15" s="14" t="str">
        <f ca="1">IFERROR(VLOOKUP(E15,'דוח ביצוע'!$B$3:$H$36,7,0),"")</f>
        <v/>
      </c>
      <c r="L15" s="15">
        <f t="shared" ca="1" si="2"/>
        <v>0</v>
      </c>
      <c r="M15" s="16"/>
      <c r="N15" s="17"/>
      <c r="P15" s="1">
        <v>6</v>
      </c>
      <c r="Q15" s="1" t="s">
        <v>21</v>
      </c>
    </row>
    <row r="16" spans="1:18" ht="18" customHeight="1" x14ac:dyDescent="0.2">
      <c r="A16" s="11"/>
      <c r="B16" s="11">
        <v>8</v>
      </c>
      <c r="C16" s="11"/>
      <c r="E16" s="12">
        <f t="shared" si="0"/>
        <v>44508</v>
      </c>
      <c r="F16" s="13" t="str">
        <f>VLOOKUP(MOD(E16,7),$P$9:Q22,2)</f>
        <v>שני</v>
      </c>
      <c r="G16" s="14">
        <f ca="1">IFERROR(VLOOKUP(E16,'דוח ביצוע'!B:D,3,0),0)</f>
        <v>0</v>
      </c>
      <c r="H16" s="14">
        <f ca="1">IFERROR(VLOOKUP(E16,'דוח ביצוע'!B:E,4,0),0)</f>
        <v>0</v>
      </c>
      <c r="I16" s="15">
        <f t="shared" ca="1" si="1"/>
        <v>0</v>
      </c>
      <c r="J16" s="14" t="str">
        <f ca="1">IFERROR(VLOOKUP(E16,'דוח ביצוע'!$B$3:$G$36,6,0),"")</f>
        <v/>
      </c>
      <c r="K16" s="14" t="str">
        <f ca="1">IFERROR(VLOOKUP(E16,'דוח ביצוע'!$B$3:$H$36,7,0),"")</f>
        <v/>
      </c>
      <c r="L16" s="15">
        <f t="shared" ca="1" si="2"/>
        <v>0</v>
      </c>
      <c r="M16" s="16"/>
      <c r="N16" s="17"/>
    </row>
    <row r="17" spans="1:14" ht="18" customHeight="1" x14ac:dyDescent="0.2">
      <c r="A17" s="11"/>
      <c r="B17" s="11">
        <v>9</v>
      </c>
      <c r="C17" s="11"/>
      <c r="E17" s="12">
        <f t="shared" si="0"/>
        <v>44509</v>
      </c>
      <c r="F17" s="13" t="str">
        <f>VLOOKUP(MOD(E17,7),$P$9:Q23,2)</f>
        <v>שלישי</v>
      </c>
      <c r="G17" s="14">
        <f ca="1">IFERROR(VLOOKUP(E17,'דוח ביצוע'!B:D,3,0),0)</f>
        <v>0</v>
      </c>
      <c r="H17" s="14">
        <f ca="1">IFERROR(VLOOKUP(E17,'דוח ביצוע'!B:E,4,0),0)</f>
        <v>0</v>
      </c>
      <c r="I17" s="15">
        <f t="shared" ca="1" si="1"/>
        <v>0</v>
      </c>
      <c r="J17" s="14" t="str">
        <f ca="1">IFERROR(VLOOKUP(E17,'דוח ביצוע'!$B$3:$G$36,6,0),"")</f>
        <v/>
      </c>
      <c r="K17" s="14" t="str">
        <f ca="1">IFERROR(VLOOKUP(E17,'דוח ביצוע'!$B$3:$H$36,7,0),"")</f>
        <v/>
      </c>
      <c r="L17" s="15">
        <f t="shared" ca="1" si="2"/>
        <v>0</v>
      </c>
      <c r="M17" s="16"/>
      <c r="N17" s="17"/>
    </row>
    <row r="18" spans="1:14" ht="18" customHeight="1" x14ac:dyDescent="0.2">
      <c r="A18" s="11"/>
      <c r="B18" s="11">
        <v>10</v>
      </c>
      <c r="C18" s="11"/>
      <c r="E18" s="12">
        <f t="shared" si="0"/>
        <v>44510</v>
      </c>
      <c r="F18" s="13" t="str">
        <f>VLOOKUP(MOD(E18,7),$P$9:Q24,2)</f>
        <v>רביעי</v>
      </c>
      <c r="G18" s="14">
        <f ca="1">IFERROR(VLOOKUP(E18,'דוח ביצוע'!B:D,3,0),0)</f>
        <v>0</v>
      </c>
      <c r="H18" s="14">
        <f ca="1">IFERROR(VLOOKUP(E18,'דוח ביצוע'!B:E,4,0),0)</f>
        <v>0</v>
      </c>
      <c r="I18" s="15">
        <f t="shared" ca="1" si="1"/>
        <v>0</v>
      </c>
      <c r="J18" s="14" t="str">
        <f ca="1">IFERROR(VLOOKUP(E18,'דוח ביצוע'!$B$3:$G$36,6,0),"")</f>
        <v/>
      </c>
      <c r="K18" s="14" t="str">
        <f ca="1">IFERROR(VLOOKUP(E18,'דוח ביצוע'!$B$3:$H$36,7,0),"")</f>
        <v/>
      </c>
      <c r="L18" s="15">
        <f t="shared" ca="1" si="2"/>
        <v>0</v>
      </c>
      <c r="M18" s="16"/>
      <c r="N18" s="17"/>
    </row>
    <row r="19" spans="1:14" ht="18" customHeight="1" x14ac:dyDescent="0.2">
      <c r="A19" s="11"/>
      <c r="B19" s="11">
        <v>11</v>
      </c>
      <c r="C19" s="11"/>
      <c r="E19" s="12">
        <f t="shared" si="0"/>
        <v>44511</v>
      </c>
      <c r="F19" s="13" t="str">
        <f>VLOOKUP(MOD(E19,7),$P$9:Q25,2)</f>
        <v>חמישי</v>
      </c>
      <c r="G19" s="14">
        <f ca="1">IFERROR(VLOOKUP(E19,'דוח ביצוע'!B:D,3,0),0)</f>
        <v>0</v>
      </c>
      <c r="H19" s="14">
        <f ca="1">IFERROR(VLOOKUP(E19,'דוח ביצוע'!B:E,4,0),0)</f>
        <v>0</v>
      </c>
      <c r="I19" s="15">
        <f t="shared" ca="1" si="1"/>
        <v>0</v>
      </c>
      <c r="J19" s="14" t="str">
        <f ca="1">IFERROR(VLOOKUP(E19,'דוח ביצוע'!$B$3:$G$36,6,0),"")</f>
        <v/>
      </c>
      <c r="K19" s="14" t="str">
        <f ca="1">IFERROR(VLOOKUP(E19,'דוח ביצוע'!$B$3:$H$36,7,0),"")</f>
        <v/>
      </c>
      <c r="L19" s="15">
        <f t="shared" ca="1" si="2"/>
        <v>0</v>
      </c>
      <c r="M19" s="16"/>
      <c r="N19" s="17"/>
    </row>
    <row r="20" spans="1:14" ht="18" customHeight="1" x14ac:dyDescent="0.2">
      <c r="A20" s="11"/>
      <c r="B20" s="11">
        <v>12</v>
      </c>
      <c r="C20" s="11"/>
      <c r="E20" s="12">
        <f t="shared" si="0"/>
        <v>44512</v>
      </c>
      <c r="F20" s="13" t="str">
        <f>VLOOKUP(MOD(E20,7),$P$9:Q26,2)</f>
        <v>שישי</v>
      </c>
      <c r="G20" s="14"/>
      <c r="H20" s="14"/>
      <c r="I20" s="15">
        <f t="shared" si="1"/>
        <v>0</v>
      </c>
      <c r="J20" s="14" t="str">
        <f ca="1">IFERROR(VLOOKUP(E20,'דוח ביצוע'!$B$3:$G$36,6,0),"")</f>
        <v/>
      </c>
      <c r="K20" s="14" t="str">
        <f ca="1">IFERROR(VLOOKUP(E20,'דוח ביצוע'!$B$3:$H$36,7,0),"")</f>
        <v/>
      </c>
      <c r="L20" s="15">
        <f t="shared" ca="1" si="2"/>
        <v>0</v>
      </c>
      <c r="M20" s="16"/>
      <c r="N20" s="17"/>
    </row>
    <row r="21" spans="1:14" ht="18" customHeight="1" x14ac:dyDescent="0.2">
      <c r="A21" s="11"/>
      <c r="B21" s="11">
        <v>13</v>
      </c>
      <c r="C21" s="11"/>
      <c r="E21" s="12">
        <f t="shared" si="0"/>
        <v>44513</v>
      </c>
      <c r="F21" s="13" t="str">
        <f>VLOOKUP(MOD(E21,7),$P$9:Q27,2)</f>
        <v>שבת</v>
      </c>
      <c r="G21" s="14"/>
      <c r="H21" s="14"/>
      <c r="I21" s="15">
        <f t="shared" si="1"/>
        <v>0</v>
      </c>
      <c r="J21" s="14" t="str">
        <f ca="1">IFERROR(VLOOKUP(E21,'דוח ביצוע'!$B$3:$G$36,6,0),"")</f>
        <v/>
      </c>
      <c r="K21" s="14" t="str">
        <f ca="1">IFERROR(VLOOKUP(E21,'דוח ביצוע'!$B$3:$H$36,7,0),"")</f>
        <v/>
      </c>
      <c r="L21" s="15">
        <f t="shared" ca="1" si="2"/>
        <v>0</v>
      </c>
      <c r="M21" s="16"/>
      <c r="N21" s="17"/>
    </row>
    <row r="22" spans="1:14" ht="18" customHeight="1" x14ac:dyDescent="0.2">
      <c r="A22" s="11"/>
      <c r="B22" s="11">
        <v>14</v>
      </c>
      <c r="C22" s="11"/>
      <c r="E22" s="12">
        <f t="shared" si="0"/>
        <v>44514</v>
      </c>
      <c r="F22" s="13" t="str">
        <f>VLOOKUP(MOD(E22,7),$P$9:Q28,2)</f>
        <v>ראשון</v>
      </c>
      <c r="G22" s="14">
        <f ca="1">IFERROR(VLOOKUP(E22,'דוח ביצוע'!B:D,3,0),0)</f>
        <v>0</v>
      </c>
      <c r="H22" s="14">
        <f ca="1">IFERROR(VLOOKUP(E22,'דוח ביצוע'!B:E,4,0),0)</f>
        <v>0</v>
      </c>
      <c r="I22" s="15">
        <f t="shared" ca="1" si="1"/>
        <v>0</v>
      </c>
      <c r="J22" s="14" t="str">
        <f ca="1">IFERROR(VLOOKUP(E22,'דוח ביצוע'!$B$3:$G$36,6,0),"")</f>
        <v/>
      </c>
      <c r="K22" s="14" t="str">
        <f ca="1">IFERROR(VLOOKUP(E22,'דוח ביצוע'!$B$3:$H$36,7,0),"")</f>
        <v/>
      </c>
      <c r="L22" s="15">
        <f t="shared" ca="1" si="2"/>
        <v>0</v>
      </c>
      <c r="M22" s="16"/>
      <c r="N22" s="17"/>
    </row>
    <row r="23" spans="1:14" ht="18" customHeight="1" x14ac:dyDescent="0.2">
      <c r="A23" s="11"/>
      <c r="B23" s="11">
        <v>15</v>
      </c>
      <c r="C23" s="11"/>
      <c r="E23" s="12">
        <f t="shared" si="0"/>
        <v>44515</v>
      </c>
      <c r="F23" s="13" t="str">
        <f>VLOOKUP(MOD(E23,7),$P$9:Q29,2)</f>
        <v>שני</v>
      </c>
      <c r="G23" s="14">
        <f ca="1">IFERROR(VLOOKUP(E23,'דוח ביצוע'!B:D,3,0),0)</f>
        <v>0</v>
      </c>
      <c r="H23" s="14">
        <f ca="1">IFERROR(VLOOKUP(E23,'דוח ביצוע'!B:E,4,0),0)</f>
        <v>0</v>
      </c>
      <c r="I23" s="15">
        <f t="shared" ca="1" si="1"/>
        <v>0</v>
      </c>
      <c r="J23" s="14" t="str">
        <f ca="1">IFERROR(VLOOKUP(E23,'דוח ביצוע'!$B$3:$G$36,6,0),"")</f>
        <v/>
      </c>
      <c r="K23" s="14" t="str">
        <f ca="1">IFERROR(VLOOKUP(E23,'דוח ביצוע'!$B$3:$H$36,7,0),"")</f>
        <v/>
      </c>
      <c r="L23" s="15">
        <f t="shared" ca="1" si="2"/>
        <v>0</v>
      </c>
      <c r="M23" s="16"/>
      <c r="N23" s="17"/>
    </row>
    <row r="24" spans="1:14" ht="18" customHeight="1" x14ac:dyDescent="0.2">
      <c r="A24" s="11"/>
      <c r="B24" s="11">
        <v>16</v>
      </c>
      <c r="C24" s="11"/>
      <c r="E24" s="12">
        <f t="shared" si="0"/>
        <v>44516</v>
      </c>
      <c r="F24" s="13" t="str">
        <f>VLOOKUP(MOD(E24,7),$P$9:Q30,2)</f>
        <v>שלישי</v>
      </c>
      <c r="G24" s="14">
        <f ca="1">IFERROR(VLOOKUP(E24,'דוח ביצוע'!B:D,3,0),0)</f>
        <v>0</v>
      </c>
      <c r="H24" s="14">
        <f ca="1">IFERROR(VLOOKUP(E24,'דוח ביצוע'!B:E,4,0),0)</f>
        <v>0</v>
      </c>
      <c r="I24" s="15">
        <f t="shared" ca="1" si="1"/>
        <v>0</v>
      </c>
      <c r="J24" s="14" t="str">
        <f ca="1">IFERROR(VLOOKUP(E24,'דוח ביצוע'!$B$3:$G$36,6,0),"")</f>
        <v/>
      </c>
      <c r="K24" s="14" t="str">
        <f ca="1">IFERROR(VLOOKUP(E24,'דוח ביצוע'!$B$3:$H$36,7,0),"")</f>
        <v/>
      </c>
      <c r="L24" s="15">
        <f t="shared" ca="1" si="2"/>
        <v>0</v>
      </c>
      <c r="M24" s="16"/>
      <c r="N24" s="17"/>
    </row>
    <row r="25" spans="1:14" ht="18" customHeight="1" x14ac:dyDescent="0.2">
      <c r="A25" s="11"/>
      <c r="B25" s="11">
        <v>17</v>
      </c>
      <c r="C25" s="11"/>
      <c r="E25" s="12">
        <f t="shared" si="0"/>
        <v>44517</v>
      </c>
      <c r="F25" s="13" t="str">
        <f>VLOOKUP(MOD(E25,7),$P$9:Q31,2)</f>
        <v>רביעי</v>
      </c>
      <c r="G25" s="14">
        <f ca="1">IFERROR(VLOOKUP(E25,'דוח ביצוע'!B:D,3,0),0)</f>
        <v>0</v>
      </c>
      <c r="H25" s="14">
        <f ca="1">IFERROR(VLOOKUP(E25,'דוח ביצוע'!B:E,4,0),0)</f>
        <v>0</v>
      </c>
      <c r="I25" s="15">
        <f t="shared" ca="1" si="1"/>
        <v>0</v>
      </c>
      <c r="J25" s="14" t="str">
        <f ca="1">IFERROR(VLOOKUP(E25,'דוח ביצוע'!$B$3:$G$36,6,0),"")</f>
        <v/>
      </c>
      <c r="K25" s="14" t="str">
        <f ca="1">IFERROR(VLOOKUP(E25,'דוח ביצוע'!$B$3:$H$36,7,0),"")</f>
        <v/>
      </c>
      <c r="L25" s="15">
        <f t="shared" ca="1" si="2"/>
        <v>0</v>
      </c>
      <c r="M25" s="16"/>
      <c r="N25" s="17"/>
    </row>
    <row r="26" spans="1:14" ht="18" customHeight="1" x14ac:dyDescent="0.2">
      <c r="A26" s="11"/>
      <c r="B26" s="11">
        <v>18</v>
      </c>
      <c r="C26" s="11"/>
      <c r="E26" s="12">
        <f t="shared" si="0"/>
        <v>44518</v>
      </c>
      <c r="F26" s="13" t="str">
        <f>VLOOKUP(MOD(E26,7),$P$9:Q32,2)</f>
        <v>חמישי</v>
      </c>
      <c r="G26" s="14">
        <f ca="1">IFERROR(VLOOKUP(E26,'דוח ביצוע'!B:D,3,0),0)</f>
        <v>0</v>
      </c>
      <c r="H26" s="14">
        <f ca="1">IFERROR(VLOOKUP(E26,'דוח ביצוע'!B:E,4,0),0)</f>
        <v>0</v>
      </c>
      <c r="I26" s="15">
        <f t="shared" ca="1" si="1"/>
        <v>0</v>
      </c>
      <c r="J26" s="14" t="str">
        <f ca="1">IFERROR(VLOOKUP(E26,'דוח ביצוע'!$B$3:$G$36,6,0),"")</f>
        <v/>
      </c>
      <c r="K26" s="14" t="str">
        <f ca="1">IFERROR(VLOOKUP(E26,'דוח ביצוע'!$B$3:$H$36,7,0),"")</f>
        <v/>
      </c>
      <c r="L26" s="15">
        <f t="shared" ca="1" si="2"/>
        <v>0</v>
      </c>
      <c r="M26" s="16"/>
      <c r="N26" s="17"/>
    </row>
    <row r="27" spans="1:14" ht="18" customHeight="1" x14ac:dyDescent="0.2">
      <c r="A27" s="11"/>
      <c r="B27" s="11">
        <v>19</v>
      </c>
      <c r="C27" s="11"/>
      <c r="E27" s="12">
        <f t="shared" si="0"/>
        <v>44519</v>
      </c>
      <c r="F27" s="13" t="str">
        <f>VLOOKUP(MOD(E27,7),$P$9:Q33,2)</f>
        <v>שישי</v>
      </c>
      <c r="G27" s="14"/>
      <c r="H27" s="14"/>
      <c r="I27" s="15">
        <f t="shared" si="1"/>
        <v>0</v>
      </c>
      <c r="J27" s="14" t="str">
        <f ca="1">IFERROR(VLOOKUP(E27,'דוח ביצוע'!$B$3:$G$36,6,0),"")</f>
        <v/>
      </c>
      <c r="K27" s="14" t="str">
        <f ca="1">IFERROR(VLOOKUP(E27,'דוח ביצוע'!$B$3:$H$36,7,0),"")</f>
        <v/>
      </c>
      <c r="L27" s="15">
        <f t="shared" ca="1" si="2"/>
        <v>0</v>
      </c>
      <c r="M27" s="16"/>
      <c r="N27" s="17"/>
    </row>
    <row r="28" spans="1:14" ht="18" customHeight="1" x14ac:dyDescent="0.2">
      <c r="A28" s="11"/>
      <c r="B28" s="11">
        <v>20</v>
      </c>
      <c r="C28" s="11"/>
      <c r="E28" s="12">
        <f t="shared" si="0"/>
        <v>44520</v>
      </c>
      <c r="F28" s="13" t="str">
        <f>VLOOKUP(MOD(E28,7),$P$9:Q34,2)</f>
        <v>שבת</v>
      </c>
      <c r="G28" s="14"/>
      <c r="H28" s="14"/>
      <c r="I28" s="15">
        <f t="shared" si="1"/>
        <v>0</v>
      </c>
      <c r="J28" s="14" t="str">
        <f ca="1">IFERROR(VLOOKUP(E28,'דוח ביצוע'!$B$3:$G$36,6,0),"")</f>
        <v/>
      </c>
      <c r="K28" s="14" t="str">
        <f ca="1">IFERROR(VLOOKUP(E28,'דוח ביצוע'!$B$3:$H$36,7,0),"")</f>
        <v/>
      </c>
      <c r="L28" s="15">
        <f t="shared" ca="1" si="2"/>
        <v>0</v>
      </c>
      <c r="M28" s="16"/>
      <c r="N28" s="17"/>
    </row>
    <row r="29" spans="1:14" ht="18" customHeight="1" x14ac:dyDescent="0.2">
      <c r="A29" s="11"/>
      <c r="B29" s="11">
        <v>21</v>
      </c>
      <c r="C29" s="11"/>
      <c r="E29" s="12">
        <f t="shared" si="0"/>
        <v>44521</v>
      </c>
      <c r="F29" s="13" t="str">
        <f>VLOOKUP(MOD(E29,7),$P$9:Q35,2)</f>
        <v>ראשון</v>
      </c>
      <c r="G29" s="14">
        <f ca="1">IFERROR(VLOOKUP(E29,'דוח ביצוע'!B:D,3,0),0)</f>
        <v>0</v>
      </c>
      <c r="H29" s="14">
        <f ca="1">IFERROR(VLOOKUP(E29,'דוח ביצוע'!B:E,4,0),0)</f>
        <v>0</v>
      </c>
      <c r="I29" s="15">
        <f t="shared" ca="1" si="1"/>
        <v>0</v>
      </c>
      <c r="J29" s="14" t="str">
        <f ca="1">IFERROR(VLOOKUP(E29,'דוח ביצוע'!$B$3:$G$36,6,0),"")</f>
        <v/>
      </c>
      <c r="K29" s="14" t="str">
        <f ca="1">IFERROR(VLOOKUP(E29,'דוח ביצוע'!$B$3:$H$36,7,0),"")</f>
        <v/>
      </c>
      <c r="L29" s="15">
        <f t="shared" ca="1" si="2"/>
        <v>0</v>
      </c>
      <c r="M29" s="16"/>
      <c r="N29" s="17"/>
    </row>
    <row r="30" spans="1:14" ht="18" customHeight="1" x14ac:dyDescent="0.2">
      <c r="A30" s="11"/>
      <c r="B30" s="11">
        <v>22</v>
      </c>
      <c r="C30" s="11"/>
      <c r="E30" s="12">
        <f t="shared" si="0"/>
        <v>44522</v>
      </c>
      <c r="F30" s="13" t="str">
        <f>VLOOKUP(MOD(E30,7),$P$9:Q36,2)</f>
        <v>שני</v>
      </c>
      <c r="G30" s="14">
        <f ca="1">IFERROR(VLOOKUP(E30,'דוח ביצוע'!B:D,3,0),0)</f>
        <v>0</v>
      </c>
      <c r="H30" s="14">
        <f ca="1">IFERROR(VLOOKUP(E30,'דוח ביצוע'!B:E,4,0),0)</f>
        <v>0</v>
      </c>
      <c r="I30" s="15">
        <f t="shared" ca="1" si="1"/>
        <v>0</v>
      </c>
      <c r="J30" s="14" t="str">
        <f ca="1">IFERROR(VLOOKUP(E30,'דוח ביצוע'!$B$3:$G$36,6,0),"")</f>
        <v/>
      </c>
      <c r="K30" s="14" t="str">
        <f ca="1">IFERROR(VLOOKUP(E30,'דוח ביצוע'!$B$3:$H$36,7,0),"")</f>
        <v/>
      </c>
      <c r="L30" s="15">
        <f t="shared" ca="1" si="2"/>
        <v>0</v>
      </c>
      <c r="M30" s="16"/>
      <c r="N30" s="17"/>
    </row>
    <row r="31" spans="1:14" ht="18" customHeight="1" x14ac:dyDescent="0.2">
      <c r="A31" s="11"/>
      <c r="B31" s="11">
        <v>23</v>
      </c>
      <c r="C31" s="11"/>
      <c r="E31" s="12">
        <f t="shared" si="0"/>
        <v>44523</v>
      </c>
      <c r="F31" s="13" t="str">
        <f>VLOOKUP(MOD(E31,7),$P$9:Q37,2)</f>
        <v>שלישי</v>
      </c>
      <c r="G31" s="14">
        <f ca="1">IFERROR(VLOOKUP(E31,'דוח ביצוע'!B:D,3,0),0)</f>
        <v>0</v>
      </c>
      <c r="H31" s="14">
        <f ca="1">IFERROR(VLOOKUP(E31,'דוח ביצוע'!B:E,4,0),0)</f>
        <v>0</v>
      </c>
      <c r="I31" s="15">
        <f t="shared" ca="1" si="1"/>
        <v>0</v>
      </c>
      <c r="J31" s="14" t="str">
        <f ca="1">IFERROR(VLOOKUP(E31,'דוח ביצוע'!$B$3:$G$36,6,0),"")</f>
        <v/>
      </c>
      <c r="K31" s="14" t="str">
        <f ca="1">IFERROR(VLOOKUP(E31,'דוח ביצוע'!$B$3:$H$36,7,0),"")</f>
        <v/>
      </c>
      <c r="L31" s="15">
        <f t="shared" ca="1" si="2"/>
        <v>0</v>
      </c>
      <c r="M31" s="16"/>
      <c r="N31" s="17"/>
    </row>
    <row r="32" spans="1:14" ht="18" customHeight="1" x14ac:dyDescent="0.2">
      <c r="A32" s="11"/>
      <c r="B32" s="11">
        <v>24</v>
      </c>
      <c r="C32" s="11"/>
      <c r="E32" s="12">
        <f t="shared" si="0"/>
        <v>44524</v>
      </c>
      <c r="F32" s="13" t="str">
        <f>VLOOKUP(MOD(E32,7),$P$9:Q38,2)</f>
        <v>רביעי</v>
      </c>
      <c r="G32" s="14">
        <f ca="1">IFERROR(VLOOKUP(E32,'דוח ביצוע'!B:D,3,0),0)</f>
        <v>0</v>
      </c>
      <c r="H32" s="14">
        <f ca="1">IFERROR(VLOOKUP(E32,'דוח ביצוע'!B:E,4,0),0)</f>
        <v>0</v>
      </c>
      <c r="I32" s="15">
        <f t="shared" ca="1" si="1"/>
        <v>0</v>
      </c>
      <c r="J32" s="14" t="str">
        <f ca="1">IFERROR(VLOOKUP(E32,'דוח ביצוע'!$B$3:$G$36,6,0),"")</f>
        <v/>
      </c>
      <c r="K32" s="14" t="str">
        <f ca="1">IFERROR(VLOOKUP(E32,'דוח ביצוע'!$B$3:$H$36,7,0),"")</f>
        <v/>
      </c>
      <c r="L32" s="15">
        <f t="shared" ca="1" si="2"/>
        <v>0</v>
      </c>
      <c r="M32" s="16"/>
      <c r="N32" s="17"/>
    </row>
    <row r="33" spans="1:17" ht="18" customHeight="1" x14ac:dyDescent="0.2">
      <c r="A33" s="11"/>
      <c r="B33" s="11">
        <v>25</v>
      </c>
      <c r="C33" s="11"/>
      <c r="E33" s="12">
        <f t="shared" si="0"/>
        <v>44525</v>
      </c>
      <c r="F33" s="13" t="str">
        <f>VLOOKUP(MOD(E33,7),$P$9:Q38,2)</f>
        <v>חמישי</v>
      </c>
      <c r="G33" s="14">
        <f ca="1">IFERROR(VLOOKUP(E33,'דוח ביצוע'!B:D,3,0),0)</f>
        <v>0</v>
      </c>
      <c r="H33" s="14">
        <f ca="1">IFERROR(VLOOKUP(E33,'דוח ביצוע'!B:E,4,0),0)</f>
        <v>0</v>
      </c>
      <c r="I33" s="15">
        <f t="shared" ca="1" si="1"/>
        <v>0</v>
      </c>
      <c r="J33" s="14" t="str">
        <f ca="1">IFERROR(VLOOKUP(E33,'דוח ביצוע'!$B$3:$G$36,6,0),"")</f>
        <v/>
      </c>
      <c r="K33" s="14" t="str">
        <f ca="1">IFERROR(VLOOKUP(E33,'דוח ביצוע'!$B$3:$H$36,7,0),"")</f>
        <v/>
      </c>
      <c r="L33" s="15">
        <f t="shared" ca="1" si="2"/>
        <v>0</v>
      </c>
      <c r="M33" s="16"/>
      <c r="N33" s="17"/>
    </row>
    <row r="34" spans="1:17" ht="18" customHeight="1" x14ac:dyDescent="0.2">
      <c r="A34" s="11"/>
      <c r="B34" s="11">
        <v>26</v>
      </c>
      <c r="C34" s="11"/>
      <c r="E34" s="12">
        <f t="shared" si="0"/>
        <v>44526</v>
      </c>
      <c r="F34" s="13" t="str">
        <f>VLOOKUP(MOD(E34,7),$P$9:Q41,2)</f>
        <v>שישי</v>
      </c>
      <c r="G34" s="14"/>
      <c r="H34" s="14"/>
      <c r="I34" s="15">
        <f t="shared" si="1"/>
        <v>0</v>
      </c>
      <c r="J34" s="14" t="str">
        <f ca="1">IFERROR(VLOOKUP(E34,'דוח ביצוע'!$B$3:$G$36,6,0),"")</f>
        <v/>
      </c>
      <c r="K34" s="14" t="str">
        <f ca="1">IFERROR(VLOOKUP(E34,'דוח ביצוע'!$B$3:$H$36,7,0),"")</f>
        <v/>
      </c>
      <c r="L34" s="15">
        <f t="shared" ca="1" si="2"/>
        <v>0</v>
      </c>
      <c r="M34" s="16"/>
      <c r="N34" s="17"/>
    </row>
    <row r="35" spans="1:17" ht="18" customHeight="1" x14ac:dyDescent="0.2">
      <c r="A35" s="11"/>
      <c r="B35" s="11">
        <v>27</v>
      </c>
      <c r="C35" s="11"/>
      <c r="E35" s="12">
        <f t="shared" si="0"/>
        <v>44527</v>
      </c>
      <c r="F35" s="13" t="str">
        <f>VLOOKUP(MOD(E35,7),$P$9:Q41,2)</f>
        <v>שבת</v>
      </c>
      <c r="G35" s="14"/>
      <c r="H35" s="14"/>
      <c r="I35" s="15">
        <f t="shared" si="1"/>
        <v>0</v>
      </c>
      <c r="J35" s="14" t="str">
        <f ca="1">IFERROR(VLOOKUP(E35,'דוח ביצוע'!$B$3:$G$36,6,0),"")</f>
        <v/>
      </c>
      <c r="K35" s="14" t="str">
        <f ca="1">IFERROR(VLOOKUP(E35,'דוח ביצוע'!$B$3:$H$36,7,0),"")</f>
        <v/>
      </c>
      <c r="L35" s="15">
        <f t="shared" ca="1" si="2"/>
        <v>0</v>
      </c>
      <c r="M35" s="16"/>
      <c r="N35" s="17"/>
    </row>
    <row r="36" spans="1:17" ht="18" customHeight="1" x14ac:dyDescent="0.2">
      <c r="A36" s="11"/>
      <c r="B36" s="11">
        <v>28</v>
      </c>
      <c r="C36" s="11"/>
      <c r="E36" s="12">
        <f t="shared" si="0"/>
        <v>44528</v>
      </c>
      <c r="F36" s="13" t="str">
        <f>VLOOKUP(MOD(E36,7),$P$9:Q41,2)</f>
        <v>ראשון</v>
      </c>
      <c r="G36" s="14">
        <f ca="1">IFERROR(VLOOKUP(E36,'דוח ביצוע'!B:D,3,0),0)</f>
        <v>0</v>
      </c>
      <c r="H36" s="14">
        <f ca="1">IFERROR(VLOOKUP(E36,'דוח ביצוע'!B:E,4,0),0)</f>
        <v>0</v>
      </c>
      <c r="I36" s="15">
        <f t="shared" ca="1" si="1"/>
        <v>0</v>
      </c>
      <c r="J36" s="14" t="str">
        <f ca="1">IFERROR(VLOOKUP(E36,'דוח ביצוע'!$B$3:$G$36,6,0),"")</f>
        <v/>
      </c>
      <c r="K36" s="14" t="str">
        <f ca="1">IFERROR(VLOOKUP(E36,'דוח ביצוע'!$B$3:$H$36,7,0),"")</f>
        <v/>
      </c>
      <c r="L36" s="15">
        <f t="shared" ca="1" si="2"/>
        <v>0</v>
      </c>
      <c r="M36" s="16"/>
      <c r="N36" s="17"/>
      <c r="P36" s="19"/>
    </row>
    <row r="37" spans="1:17" ht="18" customHeight="1" x14ac:dyDescent="0.2">
      <c r="A37" s="12">
        <f>DATE($F$3,$F$4,B37)</f>
        <v>44529</v>
      </c>
      <c r="B37" s="11">
        <v>29</v>
      </c>
      <c r="C37" s="11" t="b">
        <f>+MONTH(E36)=MONTH(A37)</f>
        <v>1</v>
      </c>
      <c r="E37" s="12">
        <f>IF(C37=TRUE,DATE($F$3,$F$4,B37),0)</f>
        <v>44529</v>
      </c>
      <c r="F37" s="13" t="str">
        <f>IF(C37=TRUE,VLOOKUP(MOD(E37,7),$P$9:Q41,2),0)</f>
        <v>שני</v>
      </c>
      <c r="G37" s="14">
        <f ca="1">IFERROR(VLOOKUP(E37,'דוח ביצוע'!B:D,3,0),0)</f>
        <v>0</v>
      </c>
      <c r="H37" s="14">
        <f ca="1">IFERROR(VLOOKUP(E37,'דוח ביצוע'!B:E,4,0),0)</f>
        <v>0</v>
      </c>
      <c r="I37" s="15">
        <f t="shared" ca="1" si="1"/>
        <v>0</v>
      </c>
      <c r="J37" s="14" t="str">
        <f ca="1">IFERROR(VLOOKUP(E37,'דוח ביצוע'!$B$3:$G$36,6,0),"")</f>
        <v/>
      </c>
      <c r="K37" s="14" t="str">
        <f ca="1">IFERROR(VLOOKUP(E37,'דוח ביצוע'!$B$3:$H$36,7,0),"")</f>
        <v/>
      </c>
      <c r="L37" s="15">
        <f t="shared" ca="1" si="2"/>
        <v>0</v>
      </c>
      <c r="M37" s="16"/>
      <c r="N37" s="17"/>
      <c r="P37" s="19"/>
      <c r="Q37" s="20"/>
    </row>
    <row r="38" spans="1:17" ht="18" customHeight="1" x14ac:dyDescent="0.2">
      <c r="A38" s="12">
        <f>DATE($F$3,$F$4,B38)</f>
        <v>44530</v>
      </c>
      <c r="B38" s="11">
        <v>30</v>
      </c>
      <c r="C38" s="11" t="b">
        <f>+MONTH(E36)=MONTH(A38)</f>
        <v>1</v>
      </c>
      <c r="E38" s="12">
        <f>IF(C38=TRUE,DATE($F$3,$F$4,B38),0)</f>
        <v>44530</v>
      </c>
      <c r="F38" s="13" t="str">
        <f>IF(C38=TRUE,VLOOKUP(MOD(E38,7),$P$9:Q42,2),0)</f>
        <v>שלישי</v>
      </c>
      <c r="G38" s="14">
        <f ca="1">IFERROR(VLOOKUP(E38,'דוח ביצוע'!B:D,3,0),0)</f>
        <v>0</v>
      </c>
      <c r="H38" s="14">
        <f ca="1">IFERROR(VLOOKUP(E38,'דוח ביצוע'!B:E,4,0),0)</f>
        <v>0</v>
      </c>
      <c r="I38" s="15">
        <f t="shared" ca="1" si="1"/>
        <v>0</v>
      </c>
      <c r="J38" s="14" t="str">
        <f ca="1">IFERROR(VLOOKUP(E38,'דוח ביצוע'!$B$3:$G$36,6,0),"")</f>
        <v/>
      </c>
      <c r="K38" s="14" t="str">
        <f ca="1">IFERROR(VLOOKUP(E38,'דוח ביצוע'!$B$3:$H$36,7,0),"")</f>
        <v/>
      </c>
      <c r="L38" s="15">
        <f t="shared" ca="1" si="2"/>
        <v>0</v>
      </c>
      <c r="M38" s="16"/>
      <c r="N38" s="17"/>
      <c r="P38" s="19"/>
    </row>
    <row r="39" spans="1:17" ht="18" customHeight="1" x14ac:dyDescent="0.2">
      <c r="E39" s="21"/>
      <c r="F39" s="22"/>
      <c r="G39" s="23"/>
      <c r="H39" s="23"/>
      <c r="I39" s="24"/>
      <c r="J39" s="23"/>
      <c r="K39" s="23"/>
      <c r="L39" s="24"/>
      <c r="M39" s="25"/>
      <c r="N39" s="10"/>
    </row>
    <row r="40" spans="1:17" ht="18" customHeight="1" x14ac:dyDescent="0.2">
      <c r="F40" s="22"/>
      <c r="G40" s="23"/>
      <c r="H40" s="23"/>
      <c r="I40" s="24"/>
      <c r="J40" s="23"/>
      <c r="K40" s="23"/>
      <c r="L40" s="24"/>
      <c r="M40" s="25"/>
      <c r="N40" s="10"/>
    </row>
    <row r="41" spans="1:17" s="2" customFormat="1" ht="24.95" customHeight="1" x14ac:dyDescent="0.2">
      <c r="G41" s="146" t="s">
        <v>22</v>
      </c>
      <c r="H41" s="147"/>
      <c r="I41" s="26">
        <f ca="1">SUM(I9:I38)</f>
        <v>0</v>
      </c>
      <c r="L41" s="148" t="s">
        <v>23</v>
      </c>
      <c r="M41" s="149"/>
      <c r="N41" s="27"/>
      <c r="O41" s="28"/>
    </row>
    <row r="42" spans="1:17" s="2" customFormat="1" ht="24.95" customHeight="1" x14ac:dyDescent="0.15">
      <c r="G42" s="146" t="s">
        <v>24</v>
      </c>
      <c r="H42" s="147"/>
      <c r="I42" s="26">
        <f ca="1">SUM(L9:L38)</f>
        <v>0</v>
      </c>
      <c r="L42" s="148" t="s">
        <v>25</v>
      </c>
      <c r="M42" s="149"/>
      <c r="N42" s="17"/>
      <c r="O42" s="28"/>
    </row>
    <row r="43" spans="1:17" s="2" customFormat="1" ht="24.95" customHeight="1" x14ac:dyDescent="0.15">
      <c r="G43" s="146" t="s">
        <v>26</v>
      </c>
      <c r="H43" s="147"/>
      <c r="I43" s="29">
        <f>COUNTA(M9:M38)</f>
        <v>0</v>
      </c>
      <c r="L43" s="148" t="s">
        <v>27</v>
      </c>
      <c r="M43" s="149"/>
      <c r="N43" s="17"/>
      <c r="O43" s="28"/>
    </row>
    <row r="44" spans="1:17" ht="18" customHeight="1" x14ac:dyDescent="0.2"/>
  </sheetData>
  <mergeCells count="10">
    <mergeCell ref="G42:H42"/>
    <mergeCell ref="L42:M42"/>
    <mergeCell ref="G43:H43"/>
    <mergeCell ref="L43:M43"/>
    <mergeCell ref="I3:K3"/>
    <mergeCell ref="I4:K4"/>
    <mergeCell ref="G7:I7"/>
    <mergeCell ref="J7:L7"/>
    <mergeCell ref="G41:H41"/>
    <mergeCell ref="L41:M41"/>
  </mergeCells>
  <dataValidations count="5">
    <dataValidation type="whole" allowBlank="1" showInputMessage="1" showErrorMessage="1" sqref="F3" xr:uid="{00000000-0002-0000-0D00-000000000000}">
      <formula1>2002</formula1>
      <formula2>2100</formula2>
    </dataValidation>
    <dataValidation type="whole" allowBlank="1" showInputMessage="1" showErrorMessage="1" sqref="F4" xr:uid="{00000000-0002-0000-0D00-000001000000}">
      <formula1>1</formula1>
      <formula2>12</formula2>
    </dataValidation>
    <dataValidation type="whole" allowBlank="1" showInputMessage="1" showErrorMessage="1" sqref="F5" xr:uid="{00000000-0002-0000-0D00-000002000000}">
      <formula1>150</formula1>
      <formula2>216</formula2>
    </dataValidation>
    <dataValidation type="list" allowBlank="1" showInputMessage="1" showErrorMessage="1" sqref="M9:M40" xr:uid="{00000000-0002-0000-0D00-000003000000}">
      <formula1>$R$9:$R$10</formula1>
    </dataValidation>
    <dataValidation type="time" allowBlank="1" showInputMessage="1" showErrorMessage="1" sqref="J39:K40 G9:H40" xr:uid="{00000000-0002-0000-0D00-000004000000}">
      <formula1>0</formula1>
      <formula2>0.999305555555556</formula2>
    </dataValidation>
  </dataValidations>
  <pageMargins left="0.7" right="0.7" top="0.75" bottom="0.75" header="0.3" footer="0.3"/>
  <pageSetup paperSize="9" scale="82" orientation="portrait" r:id="rId1"/>
  <ignoredErrors>
    <ignoredError sqref="H10:H12 H9 H15:H19 H22:H26 H29:H33 H36:H38" unlockedFormula="1"/>
  </ignoredErrors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גיליון13">
    <pageSetUpPr fitToPage="1"/>
  </sheetPr>
  <dimension ref="A1:R45"/>
  <sheetViews>
    <sheetView rightToLeft="1" topLeftCell="D1" zoomScaleNormal="100" workbookViewId="0">
      <selection activeCell="H15" sqref="H15"/>
    </sheetView>
  </sheetViews>
  <sheetFormatPr defaultColWidth="9.140625" defaultRowHeight="12.75" x14ac:dyDescent="0.2"/>
  <cols>
    <col min="1" max="3" width="3.42578125" style="1" hidden="1" customWidth="1"/>
    <col min="4" max="4" width="2.85546875" style="1" customWidth="1"/>
    <col min="5" max="5" width="12.28515625" style="1" customWidth="1"/>
    <col min="6" max="6" width="9.28515625" style="1" customWidth="1"/>
    <col min="7" max="7" width="7.42578125" style="1" customWidth="1"/>
    <col min="8" max="8" width="11.140625" style="1" customWidth="1"/>
    <col min="9" max="12" width="8.7109375" style="1" customWidth="1"/>
    <col min="13" max="13" width="11.7109375" style="1" customWidth="1"/>
    <col min="14" max="14" width="19.42578125" style="1" customWidth="1"/>
    <col min="15" max="15" width="2.28515625" style="1" hidden="1" customWidth="1"/>
    <col min="16" max="16" width="2.42578125" style="1" hidden="1" customWidth="1"/>
    <col min="17" max="17" width="8.28515625" style="1" hidden="1" customWidth="1"/>
    <col min="18" max="18" width="2.5703125" style="1" hidden="1" customWidth="1"/>
    <col min="19" max="19" width="0" style="1" hidden="1" customWidth="1"/>
    <col min="20" max="16384" width="9.140625" style="1"/>
  </cols>
  <sheetData>
    <row r="1" spans="1:18" ht="15.95" customHeight="1" x14ac:dyDescent="0.2"/>
    <row r="2" spans="1:18" ht="15.95" customHeight="1" x14ac:dyDescent="0.2"/>
    <row r="3" spans="1:18" s="2" customFormat="1" ht="21.95" customHeight="1" x14ac:dyDescent="0.2">
      <c r="E3" s="3" t="s">
        <v>0</v>
      </c>
      <c r="F3" s="4">
        <v>2021</v>
      </c>
      <c r="H3" s="3" t="s">
        <v>1</v>
      </c>
      <c r="I3" s="150"/>
      <c r="J3" s="151"/>
      <c r="K3" s="152"/>
    </row>
    <row r="4" spans="1:18" s="2" customFormat="1" ht="21.95" customHeight="1" x14ac:dyDescent="0.2">
      <c r="E4" s="3" t="s">
        <v>2</v>
      </c>
      <c r="F4" s="4">
        <v>12</v>
      </c>
      <c r="H4" s="3" t="s">
        <v>3</v>
      </c>
      <c r="I4" s="150"/>
      <c r="J4" s="151"/>
      <c r="K4" s="152"/>
    </row>
    <row r="5" spans="1:18" s="2" customFormat="1" ht="21.95" customHeight="1" x14ac:dyDescent="0.2">
      <c r="E5" s="5" t="s">
        <v>4</v>
      </c>
      <c r="F5" s="4"/>
      <c r="H5" s="6"/>
      <c r="I5" s="7"/>
      <c r="J5" s="7"/>
      <c r="K5" s="7"/>
    </row>
    <row r="6" spans="1:18" ht="18" customHeight="1" x14ac:dyDescent="0.2"/>
    <row r="7" spans="1:18" ht="18" customHeight="1" x14ac:dyDescent="0.2">
      <c r="G7" s="153" t="s">
        <v>5</v>
      </c>
      <c r="H7" s="153"/>
      <c r="I7" s="153"/>
      <c r="J7" s="153" t="s">
        <v>6</v>
      </c>
      <c r="K7" s="153"/>
      <c r="L7" s="153"/>
    </row>
    <row r="8" spans="1:18" ht="34.5" x14ac:dyDescent="0.2">
      <c r="E8" s="8" t="s">
        <v>7</v>
      </c>
      <c r="F8" s="8" t="s">
        <v>8</v>
      </c>
      <c r="G8" s="8" t="s">
        <v>9</v>
      </c>
      <c r="H8" s="8" t="s">
        <v>10</v>
      </c>
      <c r="I8" s="8" t="s">
        <v>11</v>
      </c>
      <c r="J8" s="8" t="s">
        <v>9</v>
      </c>
      <c r="K8" s="8" t="s">
        <v>10</v>
      </c>
      <c r="L8" s="8" t="s">
        <v>11</v>
      </c>
      <c r="M8" s="8" t="s">
        <v>12</v>
      </c>
      <c r="N8" s="8" t="s">
        <v>13</v>
      </c>
      <c r="Q8" s="9" t="s">
        <v>8</v>
      </c>
      <c r="R8" s="10"/>
    </row>
    <row r="9" spans="1:18" ht="18" customHeight="1" x14ac:dyDescent="0.2">
      <c r="A9" s="11"/>
      <c r="B9" s="11">
        <v>1</v>
      </c>
      <c r="C9" s="11"/>
      <c r="E9" s="12">
        <f>DATE($F$3,$F$4,B9)</f>
        <v>44531</v>
      </c>
      <c r="F9" s="13" t="str">
        <f>VLOOKUP(MOD(E9,7),$P$9:Q15,2)</f>
        <v>רביעי</v>
      </c>
      <c r="G9" s="14">
        <f ca="1">IFERROR(VLOOKUP(E9,'דוח ביצוע'!B:D,3,0),0)</f>
        <v>0</v>
      </c>
      <c r="H9" s="14">
        <f ca="1">IFERROR(VLOOKUP(E9,'דוח ביצוע'!B:E,4,0),0)</f>
        <v>0</v>
      </c>
      <c r="I9" s="15">
        <f ca="1">IFERROR(24*(H9-G9),"")</f>
        <v>0</v>
      </c>
      <c r="J9" s="14" t="str">
        <f ca="1">IFERROR(VLOOKUP(E9,'דוח ביצוע'!$B$3:$G$36,6,0),"")</f>
        <v/>
      </c>
      <c r="K9" s="14" t="str">
        <f ca="1">IFERROR(VLOOKUP(E9,'דוח ביצוע'!$B$3:$H$36,7,0),"")</f>
        <v/>
      </c>
      <c r="L9" s="15">
        <f ca="1">IFERROR(24*(K9-J9),0)</f>
        <v>0</v>
      </c>
      <c r="M9" s="16"/>
      <c r="N9" s="17"/>
      <c r="P9" s="1">
        <v>0</v>
      </c>
      <c r="Q9" s="1" t="s">
        <v>14</v>
      </c>
      <c r="R9" s="18" t="s">
        <v>15</v>
      </c>
    </row>
    <row r="10" spans="1:18" ht="18" customHeight="1" x14ac:dyDescent="0.2">
      <c r="A10" s="11"/>
      <c r="B10" s="11">
        <v>2</v>
      </c>
      <c r="C10" s="11"/>
      <c r="E10" s="12">
        <f t="shared" ref="E10:E36" si="0">DATE($F$3,$F$4,B10)</f>
        <v>44532</v>
      </c>
      <c r="F10" s="13" t="str">
        <f>VLOOKUP(MOD(E10,7),$P$9:Q16,2)</f>
        <v>חמישי</v>
      </c>
      <c r="G10" s="14">
        <f ca="1">IFERROR(VLOOKUP(E10,'דוח ביצוע'!B:D,3,0),0)</f>
        <v>0</v>
      </c>
      <c r="H10" s="14">
        <f ca="1">IFERROR(VLOOKUP(E10,'דוח ביצוע'!B:E,4,0),0)</f>
        <v>0</v>
      </c>
      <c r="I10" s="15">
        <f t="shared" ref="I10:I39" ca="1" si="1">IFERROR(24*(H10-G10),"")</f>
        <v>0</v>
      </c>
      <c r="J10" s="14" t="str">
        <f ca="1">IFERROR(VLOOKUP(E10,'דוח ביצוע'!$B$3:$G$36,6,0),"")</f>
        <v/>
      </c>
      <c r="K10" s="14" t="str">
        <f ca="1">IFERROR(VLOOKUP(E10,'דוח ביצוע'!$B$3:$H$36,7,0),"")</f>
        <v/>
      </c>
      <c r="L10" s="15">
        <f t="shared" ref="L10:L39" ca="1" si="2">IFERROR(24*(K10-J10),0)</f>
        <v>0</v>
      </c>
      <c r="M10" s="16"/>
      <c r="N10" s="17"/>
      <c r="P10" s="1">
        <v>1</v>
      </c>
      <c r="Q10" s="1" t="s">
        <v>16</v>
      </c>
    </row>
    <row r="11" spans="1:18" ht="18" customHeight="1" x14ac:dyDescent="0.2">
      <c r="A11" s="11"/>
      <c r="B11" s="11">
        <v>3</v>
      </c>
      <c r="C11" s="11"/>
      <c r="E11" s="12">
        <f t="shared" si="0"/>
        <v>44533</v>
      </c>
      <c r="F11" s="13" t="str">
        <f>VLOOKUP(MOD(E11,7),$P$9:Q17,2)</f>
        <v>שישי</v>
      </c>
      <c r="G11" s="14"/>
      <c r="H11" s="14"/>
      <c r="I11" s="15">
        <f t="shared" si="1"/>
        <v>0</v>
      </c>
      <c r="J11" s="14" t="str">
        <f ca="1">IFERROR(VLOOKUP(E11,'דוח ביצוע'!$B$3:$G$36,6,0),"")</f>
        <v/>
      </c>
      <c r="K11" s="14" t="str">
        <f ca="1">IFERROR(VLOOKUP(E11,'דוח ביצוע'!$B$3:$H$36,7,0),"")</f>
        <v/>
      </c>
      <c r="L11" s="15">
        <f t="shared" ca="1" si="2"/>
        <v>0</v>
      </c>
      <c r="M11" s="16"/>
      <c r="N11" s="17"/>
      <c r="P11" s="1">
        <v>2</v>
      </c>
      <c r="Q11" s="1" t="s">
        <v>17</v>
      </c>
    </row>
    <row r="12" spans="1:18" ht="18" customHeight="1" x14ac:dyDescent="0.2">
      <c r="A12" s="11"/>
      <c r="B12" s="11">
        <v>4</v>
      </c>
      <c r="C12" s="11"/>
      <c r="E12" s="12">
        <f t="shared" si="0"/>
        <v>44534</v>
      </c>
      <c r="F12" s="13" t="str">
        <f>VLOOKUP(MOD(E12,7),$P$9:Q18,2)</f>
        <v>שבת</v>
      </c>
      <c r="G12" s="14"/>
      <c r="H12" s="14"/>
      <c r="I12" s="15">
        <f t="shared" si="1"/>
        <v>0</v>
      </c>
      <c r="J12" s="14" t="str">
        <f ca="1">IFERROR(VLOOKUP(E12,'דוח ביצוע'!$B$3:$G$36,6,0),"")</f>
        <v/>
      </c>
      <c r="K12" s="14" t="str">
        <f ca="1">IFERROR(VLOOKUP(E12,'דוח ביצוע'!$B$3:$H$36,7,0),"")</f>
        <v/>
      </c>
      <c r="L12" s="15">
        <f t="shared" ca="1" si="2"/>
        <v>0</v>
      </c>
      <c r="M12" s="16"/>
      <c r="N12" s="17"/>
      <c r="P12" s="1">
        <v>3</v>
      </c>
      <c r="Q12" s="1" t="s">
        <v>18</v>
      </c>
    </row>
    <row r="13" spans="1:18" ht="18" customHeight="1" x14ac:dyDescent="0.2">
      <c r="A13" s="11"/>
      <c r="B13" s="11">
        <v>5</v>
      </c>
      <c r="C13" s="11"/>
      <c r="E13" s="12">
        <f t="shared" si="0"/>
        <v>44535</v>
      </c>
      <c r="F13" s="13" t="str">
        <f>VLOOKUP(MOD(E13,7),$P$9:Q19,2)</f>
        <v>ראשון</v>
      </c>
      <c r="G13" s="14">
        <f ca="1">IFERROR(VLOOKUP(E13,'דוח ביצוע'!B:D,3,0),0)</f>
        <v>0</v>
      </c>
      <c r="H13" s="14">
        <f ca="1">IFERROR(VLOOKUP(E13,'דוח ביצוע'!B:E,4,0),0)</f>
        <v>0</v>
      </c>
      <c r="I13" s="15">
        <f t="shared" ca="1" si="1"/>
        <v>0</v>
      </c>
      <c r="J13" s="14" t="str">
        <f ca="1">IFERROR(VLOOKUP(E13,'דוח ביצוע'!$B$3:$G$36,6,0),"")</f>
        <v/>
      </c>
      <c r="K13" s="14" t="str">
        <f ca="1">IFERROR(VLOOKUP(E13,'דוח ביצוע'!$B$3:$H$36,7,0),"")</f>
        <v/>
      </c>
      <c r="L13" s="15">
        <f t="shared" ca="1" si="2"/>
        <v>0</v>
      </c>
      <c r="M13" s="16"/>
      <c r="N13" s="17"/>
      <c r="P13" s="1">
        <v>4</v>
      </c>
      <c r="Q13" s="1" t="s">
        <v>19</v>
      </c>
    </row>
    <row r="14" spans="1:18" ht="18" customHeight="1" x14ac:dyDescent="0.2">
      <c r="A14" s="11"/>
      <c r="B14" s="11">
        <v>6</v>
      </c>
      <c r="C14" s="11"/>
      <c r="E14" s="12">
        <f t="shared" si="0"/>
        <v>44536</v>
      </c>
      <c r="F14" s="13" t="str">
        <f>VLOOKUP(MOD(E14,7),$P$9:Q20,2)</f>
        <v>שני</v>
      </c>
      <c r="G14" s="14">
        <f ca="1">IFERROR(VLOOKUP(E14,'דוח ביצוע'!B:D,3,0),0)</f>
        <v>0</v>
      </c>
      <c r="H14" s="14">
        <f ca="1">IFERROR(VLOOKUP(E14,'דוח ביצוע'!B:E,4,0),0)</f>
        <v>0</v>
      </c>
      <c r="I14" s="15">
        <f t="shared" ca="1" si="1"/>
        <v>0</v>
      </c>
      <c r="J14" s="14" t="str">
        <f ca="1">IFERROR(VLOOKUP(E14,'דוח ביצוע'!$B$3:$G$36,6,0),"")</f>
        <v/>
      </c>
      <c r="K14" s="14" t="str">
        <f ca="1">IFERROR(VLOOKUP(E14,'דוח ביצוע'!$B$3:$H$36,7,0),"")</f>
        <v/>
      </c>
      <c r="L14" s="15">
        <f t="shared" ca="1" si="2"/>
        <v>0</v>
      </c>
      <c r="M14" s="16"/>
      <c r="N14" s="17"/>
      <c r="P14" s="1">
        <v>5</v>
      </c>
      <c r="Q14" s="1" t="s">
        <v>20</v>
      </c>
    </row>
    <row r="15" spans="1:18" ht="18" customHeight="1" x14ac:dyDescent="0.2">
      <c r="A15" s="11"/>
      <c r="B15" s="11">
        <v>7</v>
      </c>
      <c r="C15" s="11"/>
      <c r="E15" s="12">
        <f t="shared" si="0"/>
        <v>44537</v>
      </c>
      <c r="F15" s="13" t="str">
        <f>VLOOKUP(MOD(E15,7),$P$9:Q21,2)</f>
        <v>שלישי</v>
      </c>
      <c r="G15" s="14">
        <f ca="1">IFERROR(VLOOKUP(E15,'דוח ביצוע'!B:D,3,0),0)</f>
        <v>0</v>
      </c>
      <c r="H15" s="14">
        <f ca="1">IFERROR(VLOOKUP(E15,'דוח ביצוע'!B:E,4,0),0)</f>
        <v>0</v>
      </c>
      <c r="I15" s="15">
        <f t="shared" ca="1" si="1"/>
        <v>0</v>
      </c>
      <c r="J15" s="14" t="str">
        <f ca="1">IFERROR(VLOOKUP(E15,'דוח ביצוע'!$B$3:$G$36,6,0),"")</f>
        <v/>
      </c>
      <c r="K15" s="14" t="str">
        <f ca="1">IFERROR(VLOOKUP(E15,'דוח ביצוע'!$B$3:$H$36,7,0),"")</f>
        <v/>
      </c>
      <c r="L15" s="15">
        <f t="shared" ca="1" si="2"/>
        <v>0</v>
      </c>
      <c r="M15" s="16"/>
      <c r="N15" s="17"/>
      <c r="P15" s="1">
        <v>6</v>
      </c>
      <c r="Q15" s="1" t="s">
        <v>21</v>
      </c>
    </row>
    <row r="16" spans="1:18" ht="18" customHeight="1" x14ac:dyDescent="0.2">
      <c r="A16" s="11"/>
      <c r="B16" s="11">
        <v>8</v>
      </c>
      <c r="C16" s="11"/>
      <c r="E16" s="12">
        <f t="shared" si="0"/>
        <v>44538</v>
      </c>
      <c r="F16" s="13" t="str">
        <f>VLOOKUP(MOD(E16,7),$P$9:Q22,2)</f>
        <v>רביעי</v>
      </c>
      <c r="G16" s="14">
        <f ca="1">IFERROR(VLOOKUP(E16,'דוח ביצוע'!B:D,3,0),0)</f>
        <v>0</v>
      </c>
      <c r="H16" s="14">
        <f ca="1">IFERROR(VLOOKUP(E16,'דוח ביצוע'!B:E,4,0),0)</f>
        <v>0</v>
      </c>
      <c r="I16" s="15">
        <f t="shared" ca="1" si="1"/>
        <v>0</v>
      </c>
      <c r="J16" s="14" t="str">
        <f ca="1">IFERROR(VLOOKUP(E16,'דוח ביצוע'!$B$3:$G$36,6,0),"")</f>
        <v/>
      </c>
      <c r="K16" s="14" t="str">
        <f ca="1">IFERROR(VLOOKUP(E16,'דוח ביצוע'!$B$3:$H$36,7,0),"")</f>
        <v/>
      </c>
      <c r="L16" s="15">
        <f t="shared" ca="1" si="2"/>
        <v>0</v>
      </c>
      <c r="M16" s="16"/>
      <c r="N16" s="17"/>
    </row>
    <row r="17" spans="1:14" ht="18" customHeight="1" x14ac:dyDescent="0.2">
      <c r="A17" s="11"/>
      <c r="B17" s="11">
        <v>9</v>
      </c>
      <c r="C17" s="11"/>
      <c r="E17" s="12">
        <f t="shared" si="0"/>
        <v>44539</v>
      </c>
      <c r="F17" s="13" t="str">
        <f>VLOOKUP(MOD(E17,7),$P$9:Q23,2)</f>
        <v>חמישי</v>
      </c>
      <c r="G17" s="14">
        <f ca="1">IFERROR(VLOOKUP(E17,'דוח ביצוע'!B:D,3,0),0)</f>
        <v>0</v>
      </c>
      <c r="H17" s="14">
        <f ca="1">IFERROR(VLOOKUP(E17,'דוח ביצוע'!B:E,4,0),0)</f>
        <v>0</v>
      </c>
      <c r="I17" s="15">
        <f t="shared" ca="1" si="1"/>
        <v>0</v>
      </c>
      <c r="J17" s="14" t="str">
        <f ca="1">IFERROR(VLOOKUP(E17,'דוח ביצוע'!$B$3:$G$36,6,0),"")</f>
        <v/>
      </c>
      <c r="K17" s="14" t="str">
        <f ca="1">IFERROR(VLOOKUP(E17,'דוח ביצוע'!$B$3:$H$36,7,0),"")</f>
        <v/>
      </c>
      <c r="L17" s="15">
        <f t="shared" ca="1" si="2"/>
        <v>0</v>
      </c>
      <c r="M17" s="16"/>
      <c r="N17" s="17"/>
    </row>
    <row r="18" spans="1:14" ht="18" customHeight="1" x14ac:dyDescent="0.2">
      <c r="A18" s="11"/>
      <c r="B18" s="11">
        <v>10</v>
      </c>
      <c r="C18" s="11"/>
      <c r="E18" s="12">
        <f t="shared" si="0"/>
        <v>44540</v>
      </c>
      <c r="F18" s="13" t="str">
        <f>VLOOKUP(MOD(E18,7),$P$9:Q24,2)</f>
        <v>שישי</v>
      </c>
      <c r="G18" s="14"/>
      <c r="H18" s="14"/>
      <c r="I18" s="15">
        <f t="shared" si="1"/>
        <v>0</v>
      </c>
      <c r="J18" s="14" t="str">
        <f ca="1">IFERROR(VLOOKUP(E18,'דוח ביצוע'!$B$3:$G$36,6,0),"")</f>
        <v/>
      </c>
      <c r="K18" s="14" t="str">
        <f ca="1">IFERROR(VLOOKUP(E18,'דוח ביצוע'!$B$3:$H$36,7,0),"")</f>
        <v/>
      </c>
      <c r="L18" s="15">
        <f t="shared" ca="1" si="2"/>
        <v>0</v>
      </c>
      <c r="M18" s="16"/>
      <c r="N18" s="17"/>
    </row>
    <row r="19" spans="1:14" ht="18" customHeight="1" x14ac:dyDescent="0.2">
      <c r="A19" s="11"/>
      <c r="B19" s="11">
        <v>11</v>
      </c>
      <c r="C19" s="11"/>
      <c r="E19" s="12">
        <f t="shared" si="0"/>
        <v>44541</v>
      </c>
      <c r="F19" s="13" t="str">
        <f>VLOOKUP(MOD(E19,7),$P$9:Q25,2)</f>
        <v>שבת</v>
      </c>
      <c r="G19" s="14"/>
      <c r="H19" s="14"/>
      <c r="I19" s="15">
        <f t="shared" si="1"/>
        <v>0</v>
      </c>
      <c r="J19" s="14" t="str">
        <f ca="1">IFERROR(VLOOKUP(E19,'דוח ביצוע'!$B$3:$G$36,6,0),"")</f>
        <v/>
      </c>
      <c r="K19" s="14" t="str">
        <f ca="1">IFERROR(VLOOKUP(E19,'דוח ביצוע'!$B$3:$H$36,7,0),"")</f>
        <v/>
      </c>
      <c r="L19" s="15">
        <f t="shared" ca="1" si="2"/>
        <v>0</v>
      </c>
      <c r="M19" s="16"/>
      <c r="N19" s="17"/>
    </row>
    <row r="20" spans="1:14" ht="18" customHeight="1" x14ac:dyDescent="0.2">
      <c r="A20" s="11"/>
      <c r="B20" s="11">
        <v>12</v>
      </c>
      <c r="C20" s="11"/>
      <c r="E20" s="12">
        <f t="shared" si="0"/>
        <v>44542</v>
      </c>
      <c r="F20" s="13" t="str">
        <f>VLOOKUP(MOD(E20,7),$P$9:Q26,2)</f>
        <v>ראשון</v>
      </c>
      <c r="G20" s="14">
        <f ca="1">IFERROR(VLOOKUP(E20,'דוח ביצוע'!B:D,3,0),0)</f>
        <v>0</v>
      </c>
      <c r="H20" s="14">
        <f ca="1">IFERROR(VLOOKUP(E20,'דוח ביצוע'!B:E,4,0),0)</f>
        <v>0</v>
      </c>
      <c r="I20" s="15">
        <f t="shared" ca="1" si="1"/>
        <v>0</v>
      </c>
      <c r="J20" s="14" t="str">
        <f ca="1">IFERROR(VLOOKUP(E20,'דוח ביצוע'!$B$3:$G$36,6,0),"")</f>
        <v/>
      </c>
      <c r="K20" s="14" t="str">
        <f ca="1">IFERROR(VLOOKUP(E20,'דוח ביצוע'!$B$3:$H$36,7,0),"")</f>
        <v/>
      </c>
      <c r="L20" s="15">
        <f t="shared" ca="1" si="2"/>
        <v>0</v>
      </c>
      <c r="M20" s="16"/>
      <c r="N20" s="17"/>
    </row>
    <row r="21" spans="1:14" ht="18" customHeight="1" x14ac:dyDescent="0.2">
      <c r="A21" s="11"/>
      <c r="B21" s="11">
        <v>13</v>
      </c>
      <c r="C21" s="11"/>
      <c r="E21" s="12">
        <f t="shared" si="0"/>
        <v>44543</v>
      </c>
      <c r="F21" s="13" t="str">
        <f>VLOOKUP(MOD(E21,7),$P$9:Q27,2)</f>
        <v>שני</v>
      </c>
      <c r="G21" s="14">
        <f ca="1">IFERROR(VLOOKUP(E21,'דוח ביצוע'!B:D,3,0),0)</f>
        <v>0</v>
      </c>
      <c r="H21" s="14">
        <f ca="1">IFERROR(VLOOKUP(E21,'דוח ביצוע'!B:E,4,0),0)</f>
        <v>0</v>
      </c>
      <c r="I21" s="15">
        <f t="shared" ca="1" si="1"/>
        <v>0</v>
      </c>
      <c r="J21" s="14" t="str">
        <f ca="1">IFERROR(VLOOKUP(E21,'דוח ביצוע'!$B$3:$G$36,6,0),"")</f>
        <v/>
      </c>
      <c r="K21" s="14" t="str">
        <f ca="1">IFERROR(VLOOKUP(E21,'דוח ביצוע'!$B$3:$H$36,7,0),"")</f>
        <v/>
      </c>
      <c r="L21" s="15">
        <f t="shared" ca="1" si="2"/>
        <v>0</v>
      </c>
      <c r="M21" s="16"/>
      <c r="N21" s="17"/>
    </row>
    <row r="22" spans="1:14" ht="18" customHeight="1" x14ac:dyDescent="0.2">
      <c r="A22" s="11"/>
      <c r="B22" s="11">
        <v>14</v>
      </c>
      <c r="C22" s="11"/>
      <c r="E22" s="12">
        <f t="shared" si="0"/>
        <v>44544</v>
      </c>
      <c r="F22" s="13" t="str">
        <f>VLOOKUP(MOD(E22,7),$P$9:Q28,2)</f>
        <v>שלישי</v>
      </c>
      <c r="G22" s="14">
        <f ca="1">IFERROR(VLOOKUP(E22,'דוח ביצוע'!B:D,3,0),0)</f>
        <v>0</v>
      </c>
      <c r="H22" s="14">
        <f ca="1">IFERROR(VLOOKUP(E22,'דוח ביצוע'!B:E,4,0),0)</f>
        <v>0</v>
      </c>
      <c r="I22" s="15">
        <f t="shared" ca="1" si="1"/>
        <v>0</v>
      </c>
      <c r="J22" s="14" t="str">
        <f ca="1">IFERROR(VLOOKUP(E22,'דוח ביצוע'!$B$3:$G$36,6,0),"")</f>
        <v/>
      </c>
      <c r="K22" s="14" t="str">
        <f ca="1">IFERROR(VLOOKUP(E22,'דוח ביצוע'!$B$3:$H$36,7,0),"")</f>
        <v/>
      </c>
      <c r="L22" s="15">
        <f t="shared" ca="1" si="2"/>
        <v>0</v>
      </c>
      <c r="M22" s="16"/>
      <c r="N22" s="17"/>
    </row>
    <row r="23" spans="1:14" ht="18" customHeight="1" x14ac:dyDescent="0.2">
      <c r="A23" s="11"/>
      <c r="B23" s="11">
        <v>15</v>
      </c>
      <c r="C23" s="11"/>
      <c r="E23" s="12">
        <f t="shared" si="0"/>
        <v>44545</v>
      </c>
      <c r="F23" s="13" t="str">
        <f>VLOOKUP(MOD(E23,7),$P$9:Q29,2)</f>
        <v>רביעי</v>
      </c>
      <c r="G23" s="14">
        <f ca="1">IFERROR(VLOOKUP(E23,'דוח ביצוע'!B:D,3,0),0)</f>
        <v>0</v>
      </c>
      <c r="H23" s="14">
        <f ca="1">IFERROR(VLOOKUP(E23,'דוח ביצוע'!B:E,4,0),0)</f>
        <v>0</v>
      </c>
      <c r="I23" s="15">
        <f t="shared" ca="1" si="1"/>
        <v>0</v>
      </c>
      <c r="J23" s="14" t="str">
        <f ca="1">IFERROR(VLOOKUP(E23,'דוח ביצוע'!$B$3:$G$36,6,0),"")</f>
        <v/>
      </c>
      <c r="K23" s="14" t="str">
        <f ca="1">IFERROR(VLOOKUP(E23,'דוח ביצוע'!$B$3:$H$36,7,0),"")</f>
        <v/>
      </c>
      <c r="L23" s="15">
        <f t="shared" ca="1" si="2"/>
        <v>0</v>
      </c>
      <c r="M23" s="16"/>
      <c r="N23" s="17"/>
    </row>
    <row r="24" spans="1:14" ht="18" customHeight="1" x14ac:dyDescent="0.2">
      <c r="A24" s="11"/>
      <c r="B24" s="11">
        <v>16</v>
      </c>
      <c r="C24" s="11"/>
      <c r="E24" s="12">
        <f t="shared" si="0"/>
        <v>44546</v>
      </c>
      <c r="F24" s="13" t="str">
        <f>VLOOKUP(MOD(E24,7),$P$9:Q30,2)</f>
        <v>חמישי</v>
      </c>
      <c r="G24" s="14">
        <f ca="1">IFERROR(VLOOKUP(E24,'דוח ביצוע'!B:D,3,0),0)</f>
        <v>0</v>
      </c>
      <c r="H24" s="14">
        <f ca="1">IFERROR(VLOOKUP(E24,'דוח ביצוע'!B:E,4,0),0)</f>
        <v>0</v>
      </c>
      <c r="I24" s="15">
        <f t="shared" ca="1" si="1"/>
        <v>0</v>
      </c>
      <c r="J24" s="14" t="str">
        <f ca="1">IFERROR(VLOOKUP(E24,'דוח ביצוע'!$B$3:$G$36,6,0),"")</f>
        <v/>
      </c>
      <c r="K24" s="14" t="str">
        <f ca="1">IFERROR(VLOOKUP(E24,'דוח ביצוע'!$B$3:$H$36,7,0),"")</f>
        <v/>
      </c>
      <c r="L24" s="15">
        <f t="shared" ca="1" si="2"/>
        <v>0</v>
      </c>
      <c r="M24" s="16"/>
      <c r="N24" s="17"/>
    </row>
    <row r="25" spans="1:14" ht="18" customHeight="1" x14ac:dyDescent="0.2">
      <c r="A25" s="11"/>
      <c r="B25" s="11">
        <v>17</v>
      </c>
      <c r="C25" s="11"/>
      <c r="E25" s="12">
        <f t="shared" si="0"/>
        <v>44547</v>
      </c>
      <c r="F25" s="13" t="str">
        <f>VLOOKUP(MOD(E25,7),$P$9:Q31,2)</f>
        <v>שישי</v>
      </c>
      <c r="G25" s="14"/>
      <c r="H25" s="14"/>
      <c r="I25" s="15">
        <f t="shared" si="1"/>
        <v>0</v>
      </c>
      <c r="J25" s="14" t="str">
        <f ca="1">IFERROR(VLOOKUP(E25,'דוח ביצוע'!$B$3:$G$36,6,0),"")</f>
        <v/>
      </c>
      <c r="K25" s="14" t="str">
        <f ca="1">IFERROR(VLOOKUP(E25,'דוח ביצוע'!$B$3:$H$36,7,0),"")</f>
        <v/>
      </c>
      <c r="L25" s="15">
        <f t="shared" ca="1" si="2"/>
        <v>0</v>
      </c>
      <c r="M25" s="16"/>
      <c r="N25" s="17"/>
    </row>
    <row r="26" spans="1:14" ht="18" customHeight="1" x14ac:dyDescent="0.2">
      <c r="A26" s="11"/>
      <c r="B26" s="11">
        <v>18</v>
      </c>
      <c r="C26" s="11"/>
      <c r="E26" s="12">
        <f t="shared" si="0"/>
        <v>44548</v>
      </c>
      <c r="F26" s="13" t="str">
        <f>VLOOKUP(MOD(E26,7),$P$9:Q32,2)</f>
        <v>שבת</v>
      </c>
      <c r="G26" s="14"/>
      <c r="H26" s="14"/>
      <c r="I26" s="15">
        <f t="shared" si="1"/>
        <v>0</v>
      </c>
      <c r="J26" s="14" t="str">
        <f ca="1">IFERROR(VLOOKUP(E26,'דוח ביצוע'!$B$3:$G$36,6,0),"")</f>
        <v/>
      </c>
      <c r="K26" s="14" t="str">
        <f ca="1">IFERROR(VLOOKUP(E26,'דוח ביצוע'!$B$3:$H$36,7,0),"")</f>
        <v/>
      </c>
      <c r="L26" s="15">
        <f t="shared" ca="1" si="2"/>
        <v>0</v>
      </c>
      <c r="M26" s="16"/>
      <c r="N26" s="17"/>
    </row>
    <row r="27" spans="1:14" ht="18" customHeight="1" x14ac:dyDescent="0.2">
      <c r="A27" s="11"/>
      <c r="B27" s="11">
        <v>19</v>
      </c>
      <c r="C27" s="11"/>
      <c r="E27" s="12">
        <f t="shared" si="0"/>
        <v>44549</v>
      </c>
      <c r="F27" s="13" t="str">
        <f>VLOOKUP(MOD(E27,7),$P$9:Q33,2)</f>
        <v>ראשון</v>
      </c>
      <c r="G27" s="14">
        <f ca="1">IFERROR(VLOOKUP(E27,'דוח ביצוע'!B:D,3,0),0)</f>
        <v>0</v>
      </c>
      <c r="H27" s="14">
        <f ca="1">IFERROR(VLOOKUP(E27,'דוח ביצוע'!B:E,4,0),0)</f>
        <v>0</v>
      </c>
      <c r="I27" s="15">
        <f t="shared" ca="1" si="1"/>
        <v>0</v>
      </c>
      <c r="J27" s="14" t="str">
        <f ca="1">IFERROR(VLOOKUP(E27,'דוח ביצוע'!$B$3:$G$36,6,0),"")</f>
        <v/>
      </c>
      <c r="K27" s="14" t="str">
        <f ca="1">IFERROR(VLOOKUP(E27,'דוח ביצוע'!$B$3:$H$36,7,0),"")</f>
        <v/>
      </c>
      <c r="L27" s="15">
        <f t="shared" ca="1" si="2"/>
        <v>0</v>
      </c>
      <c r="M27" s="16"/>
      <c r="N27" s="17"/>
    </row>
    <row r="28" spans="1:14" ht="18" customHeight="1" x14ac:dyDescent="0.2">
      <c r="A28" s="11"/>
      <c r="B28" s="11">
        <v>20</v>
      </c>
      <c r="C28" s="11"/>
      <c r="E28" s="12">
        <f t="shared" si="0"/>
        <v>44550</v>
      </c>
      <c r="F28" s="13" t="str">
        <f>VLOOKUP(MOD(E28,7),$P$9:Q34,2)</f>
        <v>שני</v>
      </c>
      <c r="G28" s="14">
        <f ca="1">IFERROR(VLOOKUP(E28,'דוח ביצוע'!B:D,3,0),0)</f>
        <v>0</v>
      </c>
      <c r="H28" s="14">
        <f ca="1">IFERROR(VLOOKUP(E28,'דוח ביצוע'!B:E,4,0),0)</f>
        <v>0</v>
      </c>
      <c r="I28" s="15">
        <f t="shared" ca="1" si="1"/>
        <v>0</v>
      </c>
      <c r="J28" s="14" t="str">
        <f ca="1">IFERROR(VLOOKUP(E28,'דוח ביצוע'!$B$3:$G$36,6,0),"")</f>
        <v/>
      </c>
      <c r="K28" s="14" t="str">
        <f ca="1">IFERROR(VLOOKUP(E28,'דוח ביצוע'!$B$3:$H$36,7,0),"")</f>
        <v/>
      </c>
      <c r="L28" s="15">
        <f t="shared" ca="1" si="2"/>
        <v>0</v>
      </c>
      <c r="M28" s="16"/>
      <c r="N28" s="17"/>
    </row>
    <row r="29" spans="1:14" ht="18" customHeight="1" x14ac:dyDescent="0.2">
      <c r="A29" s="11"/>
      <c r="B29" s="11">
        <v>21</v>
      </c>
      <c r="C29" s="11"/>
      <c r="E29" s="12">
        <f t="shared" si="0"/>
        <v>44551</v>
      </c>
      <c r="F29" s="13" t="str">
        <f>VLOOKUP(MOD(E29,7),$P$9:Q35,2)</f>
        <v>שלישי</v>
      </c>
      <c r="G29" s="14">
        <f ca="1">IFERROR(VLOOKUP(E29,'דוח ביצוע'!B:D,3,0),0)</f>
        <v>0</v>
      </c>
      <c r="H29" s="14">
        <f ca="1">IFERROR(VLOOKUP(E29,'דוח ביצוע'!B:E,4,0),0)</f>
        <v>0</v>
      </c>
      <c r="I29" s="15">
        <f t="shared" ca="1" si="1"/>
        <v>0</v>
      </c>
      <c r="J29" s="14" t="str">
        <f ca="1">IFERROR(VLOOKUP(E29,'דוח ביצוע'!$B$3:$G$36,6,0),"")</f>
        <v/>
      </c>
      <c r="K29" s="14" t="str">
        <f ca="1">IFERROR(VLOOKUP(E29,'דוח ביצוע'!$B$3:$H$36,7,0),"")</f>
        <v/>
      </c>
      <c r="L29" s="15">
        <f t="shared" ca="1" si="2"/>
        <v>0</v>
      </c>
      <c r="M29" s="16"/>
      <c r="N29" s="17"/>
    </row>
    <row r="30" spans="1:14" ht="18" customHeight="1" x14ac:dyDescent="0.2">
      <c r="A30" s="11"/>
      <c r="B30" s="11">
        <v>22</v>
      </c>
      <c r="C30" s="11"/>
      <c r="E30" s="12">
        <f t="shared" si="0"/>
        <v>44552</v>
      </c>
      <c r="F30" s="13" t="str">
        <f>VLOOKUP(MOD(E30,7),$P$9:Q36,2)</f>
        <v>רביעי</v>
      </c>
      <c r="G30" s="14">
        <f ca="1">IFERROR(VLOOKUP(E30,'דוח ביצוע'!B:D,3,0),0)</f>
        <v>0</v>
      </c>
      <c r="H30" s="14">
        <f ca="1">IFERROR(VLOOKUP(E30,'דוח ביצוע'!B:E,4,0),0)</f>
        <v>0</v>
      </c>
      <c r="I30" s="15">
        <f t="shared" ca="1" si="1"/>
        <v>0</v>
      </c>
      <c r="J30" s="14" t="str">
        <f ca="1">IFERROR(VLOOKUP(E30,'דוח ביצוע'!$B$3:$G$36,6,0),"")</f>
        <v/>
      </c>
      <c r="K30" s="14" t="str">
        <f ca="1">IFERROR(VLOOKUP(E30,'דוח ביצוע'!$B$3:$H$36,7,0),"")</f>
        <v/>
      </c>
      <c r="L30" s="15">
        <f t="shared" ca="1" si="2"/>
        <v>0</v>
      </c>
      <c r="M30" s="16"/>
      <c r="N30" s="17"/>
    </row>
    <row r="31" spans="1:14" ht="18" customHeight="1" x14ac:dyDescent="0.2">
      <c r="A31" s="11"/>
      <c r="B31" s="11">
        <v>23</v>
      </c>
      <c r="C31" s="11"/>
      <c r="E31" s="12">
        <f t="shared" si="0"/>
        <v>44553</v>
      </c>
      <c r="F31" s="13" t="str">
        <f>VLOOKUP(MOD(E31,7),$P$9:Q37,2)</f>
        <v>חמישי</v>
      </c>
      <c r="G31" s="14">
        <f ca="1">IFERROR(VLOOKUP(E31,'דוח ביצוע'!B:D,3,0),0)</f>
        <v>0</v>
      </c>
      <c r="H31" s="14">
        <f ca="1">IFERROR(VLOOKUP(E31,'דוח ביצוע'!B:E,4,0),0)</f>
        <v>0</v>
      </c>
      <c r="I31" s="15">
        <f t="shared" ca="1" si="1"/>
        <v>0</v>
      </c>
      <c r="J31" s="14" t="str">
        <f ca="1">IFERROR(VLOOKUP(E31,'דוח ביצוע'!$B$3:$G$36,6,0),"")</f>
        <v/>
      </c>
      <c r="K31" s="14" t="str">
        <f ca="1">IFERROR(VLOOKUP(E31,'דוח ביצוע'!$B$3:$H$36,7,0),"")</f>
        <v/>
      </c>
      <c r="L31" s="15">
        <f t="shared" ca="1" si="2"/>
        <v>0</v>
      </c>
      <c r="M31" s="16"/>
      <c r="N31" s="17"/>
    </row>
    <row r="32" spans="1:14" ht="18" customHeight="1" x14ac:dyDescent="0.2">
      <c r="A32" s="11"/>
      <c r="B32" s="11">
        <v>24</v>
      </c>
      <c r="C32" s="11"/>
      <c r="E32" s="12">
        <f t="shared" si="0"/>
        <v>44554</v>
      </c>
      <c r="F32" s="13" t="str">
        <f>VLOOKUP(MOD(E32,7),$P$9:Q38,2)</f>
        <v>שישי</v>
      </c>
      <c r="G32" s="14"/>
      <c r="H32" s="14"/>
      <c r="I32" s="15">
        <f t="shared" si="1"/>
        <v>0</v>
      </c>
      <c r="J32" s="14" t="str">
        <f ca="1">IFERROR(VLOOKUP(E32,'דוח ביצוע'!$B$3:$G$36,6,0),"")</f>
        <v/>
      </c>
      <c r="K32" s="14" t="str">
        <f ca="1">IFERROR(VLOOKUP(E32,'דוח ביצוע'!$B$3:$H$36,7,0),"")</f>
        <v/>
      </c>
      <c r="L32" s="15">
        <f t="shared" ca="1" si="2"/>
        <v>0</v>
      </c>
      <c r="M32" s="16"/>
      <c r="N32" s="17"/>
    </row>
    <row r="33" spans="1:17" ht="18" customHeight="1" x14ac:dyDescent="0.2">
      <c r="A33" s="11"/>
      <c r="B33" s="11">
        <v>25</v>
      </c>
      <c r="C33" s="11"/>
      <c r="E33" s="12">
        <f t="shared" si="0"/>
        <v>44555</v>
      </c>
      <c r="F33" s="13" t="str">
        <f>VLOOKUP(MOD(E33,7),$P$9:Q39,2)</f>
        <v>שבת</v>
      </c>
      <c r="G33" s="14"/>
      <c r="H33" s="14"/>
      <c r="I33" s="15">
        <f t="shared" si="1"/>
        <v>0</v>
      </c>
      <c r="J33" s="14" t="str">
        <f ca="1">IFERROR(VLOOKUP(E33,'דוח ביצוע'!$B$3:$G$36,6,0),"")</f>
        <v/>
      </c>
      <c r="K33" s="14" t="str">
        <f ca="1">IFERROR(VLOOKUP(E33,'דוח ביצוע'!$B$3:$H$36,7,0),"")</f>
        <v/>
      </c>
      <c r="L33" s="15">
        <f t="shared" ca="1" si="2"/>
        <v>0</v>
      </c>
      <c r="M33" s="16"/>
      <c r="N33" s="17"/>
    </row>
    <row r="34" spans="1:17" ht="18" customHeight="1" x14ac:dyDescent="0.2">
      <c r="A34" s="11"/>
      <c r="B34" s="11">
        <v>26</v>
      </c>
      <c r="C34" s="11"/>
      <c r="E34" s="12">
        <f t="shared" si="0"/>
        <v>44556</v>
      </c>
      <c r="F34" s="13" t="str">
        <f>VLOOKUP(MOD(E34,7),$P$9:Q42,2)</f>
        <v>ראשון</v>
      </c>
      <c r="G34" s="14">
        <f ca="1">IFERROR(VLOOKUP(E34,'דוח ביצוע'!B:D,3,0),0)</f>
        <v>0</v>
      </c>
      <c r="H34" s="14">
        <f ca="1">IFERROR(VLOOKUP(E34,'דוח ביצוע'!B:E,4,0),0)</f>
        <v>0</v>
      </c>
      <c r="I34" s="15">
        <f t="shared" ca="1" si="1"/>
        <v>0</v>
      </c>
      <c r="J34" s="14" t="str">
        <f ca="1">IFERROR(VLOOKUP(E34,'דוח ביצוע'!$B$3:$G$36,6,0),"")</f>
        <v/>
      </c>
      <c r="K34" s="14" t="str">
        <f ca="1">IFERROR(VLOOKUP(E34,'דוח ביצוע'!$B$3:$H$36,7,0),"")</f>
        <v/>
      </c>
      <c r="L34" s="15">
        <f t="shared" ca="1" si="2"/>
        <v>0</v>
      </c>
      <c r="M34" s="16"/>
      <c r="N34" s="17"/>
    </row>
    <row r="35" spans="1:17" ht="18" customHeight="1" x14ac:dyDescent="0.2">
      <c r="A35" s="11"/>
      <c r="B35" s="11">
        <v>27</v>
      </c>
      <c r="C35" s="11"/>
      <c r="E35" s="12">
        <f t="shared" si="0"/>
        <v>44557</v>
      </c>
      <c r="F35" s="13" t="str">
        <f>VLOOKUP(MOD(E35,7),$P$9:Q42,2)</f>
        <v>שני</v>
      </c>
      <c r="G35" s="14">
        <f ca="1">IFERROR(VLOOKUP(E35,'דוח ביצוע'!B:D,3,0),0)</f>
        <v>0</v>
      </c>
      <c r="H35" s="14">
        <f ca="1">IFERROR(VLOOKUP(E35,'דוח ביצוע'!B:E,4,0),0)</f>
        <v>0</v>
      </c>
      <c r="I35" s="15">
        <f t="shared" ca="1" si="1"/>
        <v>0</v>
      </c>
      <c r="J35" s="14" t="str">
        <f ca="1">IFERROR(VLOOKUP(E35,'דוח ביצוע'!$B$3:$G$36,6,0),"")</f>
        <v/>
      </c>
      <c r="K35" s="14" t="str">
        <f ca="1">IFERROR(VLOOKUP(E35,'דוח ביצוע'!$B$3:$H$36,7,0),"")</f>
        <v/>
      </c>
      <c r="L35" s="15">
        <f t="shared" ca="1" si="2"/>
        <v>0</v>
      </c>
      <c r="M35" s="16"/>
      <c r="N35" s="17"/>
    </row>
    <row r="36" spans="1:17" ht="18" customHeight="1" x14ac:dyDescent="0.2">
      <c r="A36" s="11"/>
      <c r="B36" s="11">
        <v>28</v>
      </c>
      <c r="C36" s="11"/>
      <c r="E36" s="12">
        <f t="shared" si="0"/>
        <v>44558</v>
      </c>
      <c r="F36" s="13" t="str">
        <f>VLOOKUP(MOD(E36,7),$P$9:Q42,2)</f>
        <v>שלישי</v>
      </c>
      <c r="G36" s="14">
        <f ca="1">IFERROR(VLOOKUP(E36,'דוח ביצוע'!B:D,3,0),0)</f>
        <v>0</v>
      </c>
      <c r="H36" s="14">
        <f ca="1">IFERROR(VLOOKUP(E36,'דוח ביצוע'!B:E,4,0),0)</f>
        <v>0</v>
      </c>
      <c r="I36" s="15">
        <f t="shared" ca="1" si="1"/>
        <v>0</v>
      </c>
      <c r="J36" s="14" t="str">
        <f ca="1">IFERROR(VLOOKUP(E36,'דוח ביצוע'!$B$3:$G$36,6,0),"")</f>
        <v/>
      </c>
      <c r="K36" s="14" t="str">
        <f ca="1">IFERROR(VLOOKUP(E36,'דוח ביצוע'!$B$3:$H$36,7,0),"")</f>
        <v/>
      </c>
      <c r="L36" s="15">
        <f t="shared" ca="1" si="2"/>
        <v>0</v>
      </c>
      <c r="M36" s="16"/>
      <c r="N36" s="17"/>
      <c r="P36" s="19"/>
    </row>
    <row r="37" spans="1:17" ht="18" customHeight="1" x14ac:dyDescent="0.2">
      <c r="A37" s="12">
        <f>DATE($F$3,$F$4,B37)</f>
        <v>44559</v>
      </c>
      <c r="B37" s="11">
        <v>29</v>
      </c>
      <c r="C37" s="11" t="b">
        <f>+MONTH(E36)=MONTH(A37)</f>
        <v>1</v>
      </c>
      <c r="E37" s="12">
        <f>IF(C37=TRUE,DATE($F$3,$F$4,B37),0)</f>
        <v>44559</v>
      </c>
      <c r="F37" s="13" t="str">
        <f>IF(C37=TRUE,VLOOKUP(MOD(E37,7),$P$9:Q42,2),0)</f>
        <v>רביעי</v>
      </c>
      <c r="G37" s="14">
        <f ca="1">IFERROR(VLOOKUP(E37,'דוח ביצוע'!B:D,3,0),0)</f>
        <v>0</v>
      </c>
      <c r="H37" s="14">
        <f ca="1">IFERROR(VLOOKUP(E37,'דוח ביצוע'!B:E,4,0),0)</f>
        <v>0</v>
      </c>
      <c r="I37" s="15">
        <f t="shared" ca="1" si="1"/>
        <v>0</v>
      </c>
      <c r="J37" s="14" t="str">
        <f ca="1">IFERROR(VLOOKUP(E37,'דוח ביצוע'!$B$3:$G$36,6,0),"")</f>
        <v/>
      </c>
      <c r="K37" s="14" t="str">
        <f ca="1">IFERROR(VLOOKUP(E37,'דוח ביצוע'!$B$3:$H$36,7,0),"")</f>
        <v/>
      </c>
      <c r="L37" s="15">
        <f t="shared" ca="1" si="2"/>
        <v>0</v>
      </c>
      <c r="M37" s="16"/>
      <c r="N37" s="17"/>
      <c r="P37" s="19"/>
      <c r="Q37" s="20"/>
    </row>
    <row r="38" spans="1:17" ht="18" customHeight="1" x14ac:dyDescent="0.2">
      <c r="A38" s="12">
        <f>DATE($F$3,$F$4,B38)</f>
        <v>44560</v>
      </c>
      <c r="B38" s="11">
        <v>30</v>
      </c>
      <c r="C38" s="11" t="b">
        <f>+MONTH(E36)=MONTH(A38)</f>
        <v>1</v>
      </c>
      <c r="E38" s="12">
        <f>IF(C38=TRUE,DATE($F$3,$F$4,B38),0)</f>
        <v>44560</v>
      </c>
      <c r="F38" s="13" t="str">
        <f>IF(C38=TRUE,VLOOKUP(MOD(E38,7),$P$9:Q43,2),0)</f>
        <v>חמישי</v>
      </c>
      <c r="G38" s="14">
        <f ca="1">IFERROR(VLOOKUP(E38,'דוח ביצוע'!B:D,3,0),0)</f>
        <v>0</v>
      </c>
      <c r="H38" s="14">
        <f ca="1">IFERROR(VLOOKUP(E38,'דוח ביצוע'!B:E,4,0),0)</f>
        <v>0</v>
      </c>
      <c r="I38" s="15">
        <f t="shared" ca="1" si="1"/>
        <v>0</v>
      </c>
      <c r="J38" s="14" t="str">
        <f ca="1">IFERROR(VLOOKUP(E38,'דוח ביצוע'!$B$3:$G$36,6,0),"")</f>
        <v/>
      </c>
      <c r="K38" s="14" t="str">
        <f ca="1">IFERROR(VLOOKUP(E38,'דוח ביצוע'!$B$3:$H$36,7,0),"")</f>
        <v/>
      </c>
      <c r="L38" s="15">
        <f t="shared" ca="1" si="2"/>
        <v>0</v>
      </c>
      <c r="M38" s="16"/>
      <c r="N38" s="17"/>
      <c r="P38" s="19"/>
    </row>
    <row r="39" spans="1:17" ht="18" customHeight="1" x14ac:dyDescent="0.2">
      <c r="A39" s="12">
        <f>DATE($F$3,$F$4,B39)</f>
        <v>44561</v>
      </c>
      <c r="B39" s="11">
        <v>31</v>
      </c>
      <c r="C39" s="11" t="b">
        <f>+MONTH(E36)=MONTH(A39)</f>
        <v>1</v>
      </c>
      <c r="E39" s="12">
        <f>IF(C39=TRUE,DATE($F$3,$F$4,B39),0)</f>
        <v>44561</v>
      </c>
      <c r="F39" s="13" t="str">
        <f>IF(C39=TRUE,VLOOKUP(MOD(E39,7),$P$9:Q44,2),0)</f>
        <v>שישי</v>
      </c>
      <c r="G39" s="14"/>
      <c r="H39" s="14"/>
      <c r="I39" s="15">
        <f t="shared" si="1"/>
        <v>0</v>
      </c>
      <c r="J39" s="14" t="str">
        <f ca="1">IFERROR(VLOOKUP(E39,'דוח ביצוע'!$B$3:$G$36,6,0),"")</f>
        <v/>
      </c>
      <c r="K39" s="14" t="str">
        <f ca="1">IFERROR(VLOOKUP(E39,'דוח ביצוע'!$B$3:$H$36,7,0),"")</f>
        <v/>
      </c>
      <c r="L39" s="15">
        <f t="shared" ca="1" si="2"/>
        <v>0</v>
      </c>
      <c r="M39" s="16"/>
      <c r="N39" s="17"/>
      <c r="P39" s="19"/>
    </row>
    <row r="40" spans="1:17" ht="18" customHeight="1" x14ac:dyDescent="0.2">
      <c r="E40" s="21"/>
      <c r="F40" s="22"/>
      <c r="G40" s="23"/>
      <c r="H40" s="23"/>
      <c r="I40" s="24"/>
      <c r="J40" s="23"/>
      <c r="K40" s="23"/>
      <c r="L40" s="24"/>
      <c r="M40" s="25"/>
      <c r="N40" s="10"/>
    </row>
    <row r="41" spans="1:17" ht="18" customHeight="1" x14ac:dyDescent="0.2">
      <c r="F41" s="22"/>
      <c r="G41" s="23"/>
      <c r="H41" s="23"/>
      <c r="I41" s="24"/>
      <c r="J41" s="23"/>
      <c r="K41" s="23"/>
      <c r="L41" s="24"/>
      <c r="M41" s="25"/>
      <c r="N41" s="10"/>
    </row>
    <row r="42" spans="1:17" s="2" customFormat="1" ht="24.95" customHeight="1" x14ac:dyDescent="0.2">
      <c r="G42" s="146" t="s">
        <v>22</v>
      </c>
      <c r="H42" s="147"/>
      <c r="I42" s="26">
        <f ca="1">SUM(I9:I39)</f>
        <v>0</v>
      </c>
      <c r="L42" s="148" t="s">
        <v>23</v>
      </c>
      <c r="M42" s="149"/>
      <c r="N42" s="27"/>
      <c r="O42" s="28"/>
    </row>
    <row r="43" spans="1:17" s="2" customFormat="1" ht="24.95" customHeight="1" x14ac:dyDescent="0.15">
      <c r="G43" s="146" t="s">
        <v>24</v>
      </c>
      <c r="H43" s="147"/>
      <c r="I43" s="26">
        <f ca="1">SUM(L9:L39)</f>
        <v>0</v>
      </c>
      <c r="L43" s="148" t="s">
        <v>25</v>
      </c>
      <c r="M43" s="149"/>
      <c r="N43" s="17"/>
      <c r="O43" s="28"/>
    </row>
    <row r="44" spans="1:17" s="2" customFormat="1" ht="24.95" customHeight="1" x14ac:dyDescent="0.15">
      <c r="G44" s="146" t="s">
        <v>26</v>
      </c>
      <c r="H44" s="147"/>
      <c r="I44" s="29">
        <f>COUNTA(M9:M39)</f>
        <v>0</v>
      </c>
      <c r="L44" s="148" t="s">
        <v>27</v>
      </c>
      <c r="M44" s="149"/>
      <c r="N44" s="17"/>
      <c r="O44" s="28"/>
    </row>
    <row r="45" spans="1:17" ht="18" customHeight="1" x14ac:dyDescent="0.2"/>
  </sheetData>
  <mergeCells count="10">
    <mergeCell ref="G43:H43"/>
    <mergeCell ref="L43:M43"/>
    <mergeCell ref="G44:H44"/>
    <mergeCell ref="L44:M44"/>
    <mergeCell ref="I3:K3"/>
    <mergeCell ref="I4:K4"/>
    <mergeCell ref="G7:I7"/>
    <mergeCell ref="J7:L7"/>
    <mergeCell ref="G42:H42"/>
    <mergeCell ref="L42:M42"/>
  </mergeCells>
  <dataValidations count="5">
    <dataValidation type="list" allowBlank="1" showInputMessage="1" showErrorMessage="1" sqref="M9:M41" xr:uid="{00000000-0002-0000-0E00-000000000000}">
      <formula1>$R$9:$R$10</formula1>
    </dataValidation>
    <dataValidation type="time" allowBlank="1" showInputMessage="1" showErrorMessage="1" sqref="J40:K41 G9:H41" xr:uid="{00000000-0002-0000-0E00-000001000000}">
      <formula1>0</formula1>
      <formula2>0.999305555555556</formula2>
    </dataValidation>
    <dataValidation type="whole" allowBlank="1" showInputMessage="1" showErrorMessage="1" sqref="F3" xr:uid="{00000000-0002-0000-0E00-000002000000}">
      <formula1>2002</formula1>
      <formula2>2100</formula2>
    </dataValidation>
    <dataValidation type="whole" allowBlank="1" showInputMessage="1" showErrorMessage="1" sqref="F4" xr:uid="{00000000-0002-0000-0E00-000003000000}">
      <formula1>1</formula1>
      <formula2>12</formula2>
    </dataValidation>
    <dataValidation type="whole" allowBlank="1" showInputMessage="1" showErrorMessage="1" sqref="F5" xr:uid="{00000000-0002-0000-0E00-000004000000}">
      <formula1>150</formula1>
      <formula2>216</formula2>
    </dataValidation>
  </dataValidations>
  <pageMargins left="0.7" right="0.7" top="0.75" bottom="0.75" header="0.3" footer="0.3"/>
  <pageSetup paperSize="9" scale="82" orientation="portrait" r:id="rId1"/>
  <ignoredErrors>
    <ignoredError sqref="H10 H35:H38 H28:H31 H21:H24 H14:H17 H9 H13 H20 H27 H34" unlockedFormula="1"/>
  </ignoredError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674D75-5BE0-4B38-877D-CAEBAE6758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15</vt:i4>
      </vt:variant>
    </vt:vector>
  </HeadingPairs>
  <TitlesOfParts>
    <vt:vector size="15" baseType="lpstr">
      <vt:lpstr>דוח הכנה chrome</vt:lpstr>
      <vt:lpstr>דוח ביצוע</vt:lpstr>
      <vt:lpstr>דוח הדפסה</vt:lpstr>
      <vt:lpstr>ינואר</vt:lpstr>
      <vt:lpstr>פברואר</vt:lpstr>
      <vt:lpstr>מרץ</vt:lpstr>
      <vt:lpstr>אפריל</vt:lpstr>
      <vt:lpstr>מאי</vt:lpstr>
      <vt:lpstr>יוני</vt:lpstr>
      <vt:lpstr>יולי</vt:lpstr>
      <vt:lpstr>אוגוסט</vt:lpstr>
      <vt:lpstr>ספטמבר</vt:lpstr>
      <vt:lpstr>אוקטובר</vt:lpstr>
      <vt:lpstr>נובמבר</vt:lpstr>
      <vt:lpstr>דצמבר</vt:lpstr>
    </vt:vector>
  </TitlesOfParts>
  <Company>P2P 4Ever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Anonymous</dc:creator>
  <cp:lastModifiedBy>Tomer Gold</cp:lastModifiedBy>
  <cp:lastPrinted>2021-08-11T08:45:51Z</cp:lastPrinted>
  <dcterms:created xsi:type="dcterms:W3CDTF">2005-01-03T07:11:50Z</dcterms:created>
  <dcterms:modified xsi:type="dcterms:W3CDTF">2022-07-15T14:53:50Z</dcterms:modified>
</cp:coreProperties>
</file>